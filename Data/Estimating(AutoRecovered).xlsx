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\Dropbox\Qepoxy\Qepoxy\Data\"/>
    </mc:Choice>
  </mc:AlternateContent>
  <xr:revisionPtr revIDLastSave="0" documentId="8_{2E780458-F17D-4DB4-B486-55A3C2632088}" xr6:coauthVersionLast="45" xr6:coauthVersionMax="45" xr10:uidLastSave="{00000000-0000-0000-0000-000000000000}"/>
  <bookViews>
    <workbookView xWindow="0" yWindow="0" windowWidth="18600" windowHeight="11190" activeTab="2" xr2:uid="{D5AD5467-9BB2-4297-85D7-0F7C81AB2CA2}"/>
  </bookViews>
  <sheets>
    <sheet name="Quotes Submitted" sheetId="3" r:id="rId1"/>
    <sheet name="Antislip guide" sheetId="5" r:id="rId2"/>
    <sheet name="Pricing" sheetId="4" r:id="rId3"/>
    <sheet name="Hours" sheetId="7" r:id="rId4"/>
    <sheet name="m2 rates" sheetId="8" r:id="rId5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4" l="1"/>
  <c r="I4" i="4"/>
  <c r="H67" i="4"/>
  <c r="I67" i="4"/>
  <c r="I13" i="4"/>
  <c r="H13" i="4" l="1"/>
  <c r="H48" i="4"/>
  <c r="J4" i="4"/>
  <c r="I36" i="4"/>
  <c r="D10" i="7" l="1"/>
  <c r="D15" i="7"/>
  <c r="D14" i="7"/>
  <c r="D13" i="7"/>
  <c r="D12" i="7"/>
  <c r="D11" i="7"/>
  <c r="D9" i="7"/>
  <c r="D8" i="7"/>
  <c r="D7" i="7"/>
  <c r="D6" i="7"/>
  <c r="C6" i="7"/>
  <c r="K172" i="4" l="1"/>
  <c r="L172" i="4" s="1"/>
  <c r="M172" i="4" s="1"/>
  <c r="K170" i="4"/>
  <c r="L170" i="4" s="1"/>
  <c r="M170" i="4" s="1"/>
  <c r="K171" i="4"/>
  <c r="L171" i="4" s="1"/>
  <c r="M171" i="4" s="1"/>
  <c r="K173" i="4"/>
  <c r="L173" i="4" s="1"/>
  <c r="M173" i="4" s="1"/>
  <c r="K169" i="4"/>
  <c r="L169" i="4" s="1"/>
  <c r="M169" i="4" s="1"/>
  <c r="I169" i="4" a="1"/>
  <c r="I169" i="4" s="1"/>
  <c r="H169" i="4"/>
  <c r="H173" i="4"/>
  <c r="H172" i="4"/>
  <c r="H171" i="4"/>
  <c r="H170" i="4"/>
  <c r="N169" i="4" l="1"/>
  <c r="M24" i="3"/>
  <c r="I165" i="4"/>
  <c r="M21" i="3" l="1"/>
  <c r="H54" i="4"/>
  <c r="M20" i="3"/>
  <c r="M19" i="3" l="1"/>
  <c r="I161" i="4"/>
  <c r="H161" i="4"/>
  <c r="M18" i="3"/>
  <c r="I157" i="4"/>
  <c r="H157" i="4"/>
  <c r="M17" i="3" l="1"/>
  <c r="M16" i="3"/>
  <c r="M15" i="3"/>
  <c r="M11" i="3"/>
  <c r="M6" i="3"/>
  <c r="I154" i="4"/>
  <c r="J154" i="4" s="1"/>
  <c r="H154" i="4"/>
  <c r="G126" i="4"/>
  <c r="F126" i="4"/>
  <c r="I126" i="4" s="1"/>
  <c r="H127" i="4" l="1"/>
  <c r="I127" i="4" s="1"/>
  <c r="H124" i="4"/>
  <c r="I124" i="4" s="1"/>
  <c r="J128" i="4" s="1"/>
  <c r="I148" i="4"/>
  <c r="J148" i="4" s="1" a="1"/>
  <c r="J148" i="4" s="1"/>
  <c r="I150" i="4"/>
  <c r="J150" i="4" s="1"/>
  <c r="H145" i="4"/>
  <c r="I145" i="4" s="1"/>
  <c r="H144" i="4"/>
  <c r="I144" i="4" s="1"/>
  <c r="G136" i="4"/>
  <c r="H136" i="4" s="1"/>
  <c r="G131" i="4"/>
  <c r="H131" i="4" s="1"/>
  <c r="I131" i="4" s="1"/>
  <c r="C12" i="7"/>
  <c r="I136" i="4" l="1"/>
  <c r="J136" i="4" s="1"/>
  <c r="C17" i="7"/>
  <c r="D17" i="7" s="1"/>
  <c r="C18" i="7"/>
  <c r="D18" i="7" s="1"/>
  <c r="H113" i="4" l="1"/>
  <c r="I113" i="4" s="1"/>
  <c r="H100" i="4"/>
  <c r="G103" i="4" l="1"/>
  <c r="H103" i="4" s="1"/>
  <c r="G101" i="4"/>
  <c r="H101" i="4" s="1"/>
  <c r="H98" i="4"/>
  <c r="H97" i="4"/>
  <c r="K97" i="4" s="1" a="1"/>
  <c r="K97" i="4" s="1"/>
  <c r="I97" i="4" l="1"/>
  <c r="H94" i="4"/>
  <c r="H93" i="4"/>
  <c r="H92" i="4"/>
  <c r="H90" i="4"/>
  <c r="I90" i="4" s="1" a="1"/>
  <c r="I90" i="4" s="1"/>
  <c r="I87" i="4" l="1"/>
  <c r="I84" i="4" a="1"/>
  <c r="I84" i="4" s="1"/>
  <c r="I82" i="4"/>
  <c r="G72" i="4"/>
  <c r="H72" i="4" s="1"/>
  <c r="G77" i="4"/>
  <c r="H77" i="4" s="1"/>
  <c r="I77" i="4" s="1"/>
  <c r="J77" i="4" s="1"/>
  <c r="K77" i="4" l="1"/>
  <c r="I72" i="4"/>
  <c r="C14" i="7" l="1"/>
  <c r="H64" i="4"/>
  <c r="I64" i="4" s="1"/>
  <c r="H66" i="4"/>
  <c r="I66" i="4" s="1"/>
  <c r="H69" i="4"/>
  <c r="I69" i="4" s="1"/>
  <c r="H62" i="4"/>
  <c r="I62" i="4" s="1"/>
  <c r="K69" i="4" l="1"/>
  <c r="H46" i="4"/>
  <c r="H36" i="4"/>
  <c r="H38" i="4"/>
  <c r="H40" i="4"/>
  <c r="H42" i="4"/>
  <c r="H44" i="4"/>
  <c r="H34" i="4"/>
  <c r="H58" i="4"/>
  <c r="I58" i="4" s="1"/>
  <c r="J58" i="4" s="1"/>
  <c r="H53" i="4"/>
  <c r="I53" i="4" s="1"/>
  <c r="I40" i="4" l="1"/>
  <c r="J53" i="4"/>
  <c r="C16" i="7"/>
  <c r="D16" i="7" s="1"/>
  <c r="C15" i="7"/>
  <c r="I16" i="4"/>
  <c r="H7" i="4"/>
  <c r="I7" i="4" s="1"/>
  <c r="J7" i="4" s="1"/>
  <c r="H30" i="4"/>
  <c r="I30" i="4" s="1"/>
  <c r="J30" i="4" s="1"/>
  <c r="M2" i="3"/>
  <c r="C7" i="7" l="1"/>
  <c r="C13" i="7"/>
  <c r="C11" i="7"/>
  <c r="C10" i="7"/>
  <c r="C9" i="7"/>
  <c r="C8" i="7"/>
</calcChain>
</file>

<file path=xl/sharedStrings.xml><?xml version="1.0" encoding="utf-8"?>
<sst xmlns="http://schemas.openxmlformats.org/spreadsheetml/2006/main" count="612" uniqueCount="428">
  <si>
    <t>Project</t>
  </si>
  <si>
    <t>Company</t>
  </si>
  <si>
    <t>Contact</t>
  </si>
  <si>
    <t>Area</t>
  </si>
  <si>
    <t>Scope</t>
  </si>
  <si>
    <t>Date</t>
  </si>
  <si>
    <t>Number</t>
  </si>
  <si>
    <t>Email</t>
  </si>
  <si>
    <t>Product</t>
  </si>
  <si>
    <t>Justin Lang</t>
  </si>
  <si>
    <t xml:space="preserve">Location </t>
  </si>
  <si>
    <t>South Brisbane</t>
  </si>
  <si>
    <t>estimatingqld@kane.com.au</t>
  </si>
  <si>
    <t>THE SLIP RATING REQUIREMENTS – TABLE 3B – SA HB 198:2014</t>
  </si>
  <si>
    <t>LOCATION</t>
  </si>
  <si>
    <t>WET PENDULUM TEST</t>
  </si>
  <si>
    <t>OIL-WET INCLINING PLATFORM TEST</t>
  </si>
  <si>
    <t>STAIR TREADS, STAIRS &amp; Landings- TABLES-3A D.T.S BCA APPLICATIONS</t>
  </si>
  <si>
    <t>Stair Treads and a Stairway Landings- (Nosings Pendulum only) – DRY</t>
  </si>
  <si>
    <t>P3</t>
  </si>
  <si>
    <t>R10</t>
  </si>
  <si>
    <t>P4</t>
  </si>
  <si>
    <t>R11</t>
  </si>
  <si>
    <t>RAMPS TABLE – 3A D.T.S BCA APPLICATIONS</t>
  </si>
  <si>
    <t>Ramps not steeper than 1:14 gradient – DRY</t>
  </si>
  <si>
    <t>Ramps not steeper than 1:14 gradient – WET</t>
  </si>
  <si>
    <t>HOTELS, OFFICES, PUBLIC BUILDINGS, SCHOOLS AND KINDERGARTENS</t>
  </si>
  <si>
    <t>Entry foyers hotel, office, public buildings and internal lift lobbies – WET</t>
  </si>
  <si>
    <t>Entry foyers hotel, office, public buildings and internal lift lobbies – TRANSITIONAL</t>
  </si>
  <si>
    <t>P2</t>
  </si>
  <si>
    <t>R9</t>
  </si>
  <si>
    <t>Entry foyers hotel, office, public buildings and internal lift lobbies – DRY</t>
  </si>
  <si>
    <t>P1</t>
  </si>
  <si>
    <t>Toilet facilities in office, hotels, shopping centres</t>
  </si>
  <si>
    <t>Hotel apartment bathrooms, en suites ans toilets</t>
  </si>
  <si>
    <t>A</t>
  </si>
  <si>
    <t>Hotel apartment kitchens and laundries</t>
  </si>
  <si>
    <t>SUPERMARKETS AND SHOPPING CENTRES</t>
  </si>
  <si>
    <t>Fast food outlets, buffet food servery areas, food courts and fast food dining areas in shopping centres</t>
  </si>
  <si>
    <t>Shop and supermarket fresh fruit and vegetable areas</t>
  </si>
  <si>
    <t>Shop entry areas with external entrances</t>
  </si>
  <si>
    <t>Suoermarket aisles (except fresh food areas)</t>
  </si>
  <si>
    <t>Other separate shops inside shopping centres – WET</t>
  </si>
  <si>
    <t>Other separate shops inside shopping centres – DRY</t>
  </si>
  <si>
    <t>LOADING DOCKS, COMMERCIAL KITCHENS, COLD STORES, SERVING AREAS</t>
  </si>
  <si>
    <t>Loading docks under cover and commercial kitchens</t>
  </si>
  <si>
    <t>P5</t>
  </si>
  <si>
    <t>R12</t>
  </si>
  <si>
    <t>Serving areas behind bars in public hotels and clubs, cold stores &amp; freezer</t>
  </si>
  <si>
    <t>SWIMMING POOLS AND SPORTING FACILITIES</t>
  </si>
  <si>
    <t>Swimming pool ramps and stairs leading to water</t>
  </si>
  <si>
    <t>C</t>
  </si>
  <si>
    <t>Swimming pool ramps surrounds and communal shower rooms</t>
  </si>
  <si>
    <t>B</t>
  </si>
  <si>
    <t>Communal changing rooms</t>
  </si>
  <si>
    <t>Undercover concourse areas of sports stadiums</t>
  </si>
  <si>
    <t>HOSPITALS &amp; AGED CARE FACILITIES</t>
  </si>
  <si>
    <t>Bathrooms and en suites in hospitals and aged care facilities</t>
  </si>
  <si>
    <t>Wards and corridors in hospital and aged care facilities</t>
  </si>
  <si>
    <t>Nitoflor FC 150 HP Base</t>
  </si>
  <si>
    <t>Nitoflor FC 150 HP Hardener</t>
  </si>
  <si>
    <t>5.5L</t>
  </si>
  <si>
    <t>2.3L</t>
  </si>
  <si>
    <t>Unit</t>
  </si>
  <si>
    <t>Price</t>
  </si>
  <si>
    <t>60mesh</t>
  </si>
  <si>
    <t>Coverage</t>
  </si>
  <si>
    <t>Nitoflor colorpot Koala Grey</t>
  </si>
  <si>
    <t>Grind dbl</t>
  </si>
  <si>
    <t>Roll coat + Prep 1 Coat</t>
  </si>
  <si>
    <t>Roll coat + Prep 2 Coats</t>
  </si>
  <si>
    <t>Roll coat + Prep 3 Coats</t>
  </si>
  <si>
    <t>m2/hr</t>
  </si>
  <si>
    <t>hrs/m2</t>
  </si>
  <si>
    <t>Floor area m2</t>
  </si>
  <si>
    <t>Coving LM</t>
  </si>
  <si>
    <t>4mm Trowel</t>
  </si>
  <si>
    <t>Man Hrs</t>
  </si>
  <si>
    <t>20L</t>
  </si>
  <si>
    <t>10L</t>
  </si>
  <si>
    <t>Grind 1</t>
  </si>
  <si>
    <t>Sand 800</t>
  </si>
  <si>
    <t>Sand 400</t>
  </si>
  <si>
    <t>Arrowhead</t>
  </si>
  <si>
    <t>Nitomortar 903 Hardener</t>
  </si>
  <si>
    <t>Nitomortar 903 Base</t>
  </si>
  <si>
    <t>80L</t>
  </si>
  <si>
    <t>3.6m</t>
  </si>
  <si>
    <t>Coving</t>
  </si>
  <si>
    <t>Landmark</t>
  </si>
  <si>
    <t>Mitch</t>
  </si>
  <si>
    <t>mitchell@landmarkgr.com</t>
  </si>
  <si>
    <t>BASF Mastertop 1080</t>
  </si>
  <si>
    <t>Amount</t>
  </si>
  <si>
    <t>2 coat Roll Coat</t>
  </si>
  <si>
    <t>Area m2</t>
  </si>
  <si>
    <t>Garage and Storage area Floor</t>
  </si>
  <si>
    <t>2.4kg</t>
  </si>
  <si>
    <t>10lt</t>
  </si>
  <si>
    <t>8.8lt</t>
  </si>
  <si>
    <t>Colour Pack</t>
  </si>
  <si>
    <t>5m2/L</t>
  </si>
  <si>
    <t>Parchem</t>
  </si>
  <si>
    <t>Mastertop 1080 PtA</t>
  </si>
  <si>
    <t>Mastertop 1080 PtB</t>
  </si>
  <si>
    <t>BASF</t>
  </si>
  <si>
    <t>Hychem GP Part A and B</t>
  </si>
  <si>
    <t>4m2/L</t>
  </si>
  <si>
    <t>500g</t>
  </si>
  <si>
    <t>2packs/kit</t>
  </si>
  <si>
    <t>1.6L /3m</t>
  </si>
  <si>
    <t>4L/3m</t>
  </si>
  <si>
    <t>20kg(12L)</t>
  </si>
  <si>
    <t>Primer</t>
  </si>
  <si>
    <t>Rollcoat</t>
  </si>
  <si>
    <t>1.2pta0.4ptb</t>
  </si>
  <si>
    <t>Coving 3:1</t>
  </si>
  <si>
    <t>$14/LM</t>
  </si>
  <si>
    <t>Line Marking</t>
  </si>
  <si>
    <t>Chevron</t>
  </si>
  <si>
    <t>Wording Stencil</t>
  </si>
  <si>
    <t>Cost per m2</t>
  </si>
  <si>
    <t>Coverage per kit</t>
  </si>
  <si>
    <t>Price per kit</t>
  </si>
  <si>
    <t>2coats</t>
  </si>
  <si>
    <t xml:space="preserve">m2 of Topcoat required </t>
  </si>
  <si>
    <t>m2</t>
  </si>
  <si>
    <t>Coving 75 mm AH + seal 2 coats</t>
  </si>
  <si>
    <t>Weathermax HBR ptA Signal Red</t>
  </si>
  <si>
    <t>Weathermax HBR ptB Signal Red</t>
  </si>
  <si>
    <t>Weathermax HBR ptA Golden Yellow</t>
  </si>
  <si>
    <t>Weathermax HBR ptB Golden Yellow</t>
  </si>
  <si>
    <t>Dulux Durabild STE pt A Signal red</t>
  </si>
  <si>
    <t>Dulux Durabild STE pt B Signal red</t>
  </si>
  <si>
    <t>Dulux Durabild STE pt A Golden Yellow</t>
  </si>
  <si>
    <t>Dulux Durabild STE pt B Golden Yellow</t>
  </si>
  <si>
    <t>3.2L</t>
  </si>
  <si>
    <t>0.8L</t>
  </si>
  <si>
    <t>LineMarking Yellow</t>
  </si>
  <si>
    <t>LineMarking Red</t>
  </si>
  <si>
    <t>Chevrons</t>
  </si>
  <si>
    <t>LineMarking</t>
  </si>
  <si>
    <t>Q251</t>
  </si>
  <si>
    <t>Q252</t>
  </si>
  <si>
    <t>CEP Cooling towers expansion</t>
  </si>
  <si>
    <t>Kane Construction</t>
  </si>
  <si>
    <t>prime and 2 coat roll coat and coving</t>
  </si>
  <si>
    <t>Nitomortar , Nitoflor</t>
  </si>
  <si>
    <t>Cove m</t>
  </si>
  <si>
    <t>Status</t>
  </si>
  <si>
    <t>Follow Up</t>
  </si>
  <si>
    <t>submitted</t>
  </si>
  <si>
    <t>Hychem</t>
  </si>
  <si>
    <t>Supafloor Neutral</t>
  </si>
  <si>
    <t>18.2kg - 13.7L</t>
  </si>
  <si>
    <t>Epoxy Pigment</t>
  </si>
  <si>
    <t>1L</t>
  </si>
  <si>
    <t>Rates</t>
  </si>
  <si>
    <t>LM</t>
  </si>
  <si>
    <t>PKF - Parchem +150cove to tape</t>
  </si>
  <si>
    <t>Dulux</t>
  </si>
  <si>
    <t>7.7m2/L</t>
  </si>
  <si>
    <t>Luxafloor WB PtA</t>
  </si>
  <si>
    <t>7.5L</t>
  </si>
  <si>
    <t>Luxafloor WB PtB</t>
  </si>
  <si>
    <t>2.5L</t>
  </si>
  <si>
    <t>PKF - Hychem +150 Cove to Tape</t>
  </si>
  <si>
    <t>Honed</t>
  </si>
  <si>
    <t>Burnished</t>
  </si>
  <si>
    <t>Dulux Durabild STE pt A White</t>
  </si>
  <si>
    <t>Dulux Durabild STE pt B White</t>
  </si>
  <si>
    <t>Weathermax HBR ptA White</t>
  </si>
  <si>
    <t>Weathermax HBR ptB White</t>
  </si>
  <si>
    <t>perm2</t>
  </si>
  <si>
    <t>Dulux Durabild STE pt A Blue</t>
  </si>
  <si>
    <t>Dulux Durabild STE pt B Blue</t>
  </si>
  <si>
    <t>Weathermax HBR ptA Blue</t>
  </si>
  <si>
    <t>Weathermax HBR ptB Blue</t>
  </si>
  <si>
    <t>$14/number</t>
  </si>
  <si>
    <t>$50/wheelchair</t>
  </si>
  <si>
    <t>$20/Keep clear</t>
  </si>
  <si>
    <t>Hyflake</t>
  </si>
  <si>
    <t>60-65</t>
  </si>
  <si>
    <t>Flake</t>
  </si>
  <si>
    <t>6m2/L</t>
  </si>
  <si>
    <t xml:space="preserve">0.5 of area in materials </t>
  </si>
  <si>
    <t>Hychem SupaFloor 1st Coat</t>
  </si>
  <si>
    <t>Hychem SupaFloor 2nd Coat</t>
  </si>
  <si>
    <t>6m2</t>
  </si>
  <si>
    <t>PA Glaze3</t>
  </si>
  <si>
    <t>5m2</t>
  </si>
  <si>
    <t>Hy-flake 4 coat</t>
  </si>
  <si>
    <t>Flake Chips Natural Stone</t>
  </si>
  <si>
    <t>20kg</t>
  </si>
  <si>
    <t>4m2/LNatural, 6m2/L standard</t>
  </si>
  <si>
    <t>60kg 55L</t>
  </si>
  <si>
    <t>awarded</t>
  </si>
  <si>
    <t>65-70</t>
  </si>
  <si>
    <t>Hychem Coving 75mm 100high</t>
  </si>
  <si>
    <t>Flake cove</t>
  </si>
  <si>
    <t>Q253</t>
  </si>
  <si>
    <t>Mangohill</t>
  </si>
  <si>
    <t>PKF</t>
  </si>
  <si>
    <t>flake</t>
  </si>
  <si>
    <t>hyflake</t>
  </si>
  <si>
    <t>not pricing</t>
  </si>
  <si>
    <t>Hyflake mango hill</t>
  </si>
  <si>
    <t>Hyflake bundaberg</t>
  </si>
  <si>
    <t xml:space="preserve">Bundaberg shs </t>
  </si>
  <si>
    <t>various</t>
  </si>
  <si>
    <t>Q254</t>
  </si>
  <si>
    <t>Eumundi Hotel</t>
  </si>
  <si>
    <t>Polish and epoxy</t>
  </si>
  <si>
    <t>Polish and superfloor</t>
  </si>
  <si>
    <t>Honed Salvation Army</t>
  </si>
  <si>
    <t>Polished - Eumundi Hotel</t>
  </si>
  <si>
    <t>Sika Purcem</t>
  </si>
  <si>
    <t>Q255</t>
  </si>
  <si>
    <t>6MM Floor</t>
  </si>
  <si>
    <t>SikaFloor Coving 75mm 100 high</t>
  </si>
  <si>
    <t>Sikafloor 20/21/24 Purcem Part A</t>
  </si>
  <si>
    <t>13.8kg</t>
  </si>
  <si>
    <t>2.8kg</t>
  </si>
  <si>
    <t>Sikafloor 20/21/24 Purcem Part B</t>
  </si>
  <si>
    <t>3kg</t>
  </si>
  <si>
    <t>Sikafloor 21 Purcem Part C</t>
  </si>
  <si>
    <t>Sikafloor Pigment Paste Curtain Call</t>
  </si>
  <si>
    <t>0.4kg</t>
  </si>
  <si>
    <t>Sikafloor 31/29/33N Purcem Part A</t>
  </si>
  <si>
    <t>1.3kg</t>
  </si>
  <si>
    <t>Sikafloor 31/29 Purcem Part B</t>
  </si>
  <si>
    <t>1.5kg</t>
  </si>
  <si>
    <t>Sikafloor 31/29/33N/310 Purcem Part C</t>
  </si>
  <si>
    <t>1.6kg</t>
  </si>
  <si>
    <t>20kg = 10.53L</t>
  </si>
  <si>
    <t>4.9kg - 3.4L</t>
  </si>
  <si>
    <t>Sikafloor 94 Primer</t>
  </si>
  <si>
    <t>$12/L</t>
  </si>
  <si>
    <t>1.5L/3M</t>
  </si>
  <si>
    <t>Sika 94 Coving</t>
  </si>
  <si>
    <t>Q256</t>
  </si>
  <si>
    <t>Farrago</t>
  </si>
  <si>
    <t>Darren</t>
  </si>
  <si>
    <t>darrenc@farrago.com.au</t>
  </si>
  <si>
    <t>Alex SLSC</t>
  </si>
  <si>
    <t>Sunshine coats</t>
  </si>
  <si>
    <t>Eumundi</t>
  </si>
  <si>
    <t>Bundaberg</t>
  </si>
  <si>
    <t>6mm purcem and coving</t>
  </si>
  <si>
    <t>Honed salvation army</t>
  </si>
  <si>
    <t>Q257</t>
  </si>
  <si>
    <t xml:space="preserve">Salvation Army </t>
  </si>
  <si>
    <t>Manundi</t>
  </si>
  <si>
    <t>Honed finish</t>
  </si>
  <si>
    <t xml:space="preserve">Accepted </t>
  </si>
  <si>
    <t>PO</t>
  </si>
  <si>
    <t>FI78</t>
  </si>
  <si>
    <t>Q258</t>
  </si>
  <si>
    <t xml:space="preserve">Woolworths x 3 </t>
  </si>
  <si>
    <t>Streetbuild</t>
  </si>
  <si>
    <t>Heng</t>
  </si>
  <si>
    <t>linemarking and Chevron</t>
  </si>
  <si>
    <t>Q259</t>
  </si>
  <si>
    <t>Kawana Waters</t>
  </si>
  <si>
    <t>Buddina</t>
  </si>
  <si>
    <t>CCS Flake</t>
  </si>
  <si>
    <t xml:space="preserve">Duratrac HB Epoxy A and B Clear </t>
  </si>
  <si>
    <t>16kg = 15L</t>
  </si>
  <si>
    <t>CCS Flake Range 6mm</t>
  </si>
  <si>
    <t>5kg</t>
  </si>
  <si>
    <t>Flakekote 100S</t>
  </si>
  <si>
    <t>5kg = 5L</t>
  </si>
  <si>
    <t>7m2/L</t>
  </si>
  <si>
    <t>8-10m2/L</t>
  </si>
  <si>
    <t>4.6m2/L</t>
  </si>
  <si>
    <t>2.4m2/kg</t>
  </si>
  <si>
    <t>180g</t>
  </si>
  <si>
    <t>Ultra Epoxy WB Primer PtA and PtB light grey</t>
  </si>
  <si>
    <t>12kg = 10L</t>
  </si>
  <si>
    <t xml:space="preserve">full kit </t>
  </si>
  <si>
    <t>Q260</t>
  </si>
  <si>
    <t>Springfield Park and ride</t>
  </si>
  <si>
    <t>Springfield</t>
  </si>
  <si>
    <t>Hychem QAS and QFES</t>
  </si>
  <si>
    <t>Hychem GP</t>
  </si>
  <si>
    <t>Hychem SF20</t>
  </si>
  <si>
    <t>22L</t>
  </si>
  <si>
    <t>2L</t>
  </si>
  <si>
    <t>3m2/L</t>
  </si>
  <si>
    <t>Prime</t>
  </si>
  <si>
    <t>1st with broadcast</t>
  </si>
  <si>
    <t>1st seal coat</t>
  </si>
  <si>
    <t>Final seal coat</t>
  </si>
  <si>
    <t>PA300</t>
  </si>
  <si>
    <t>1lt</t>
  </si>
  <si>
    <t>Q261</t>
  </si>
  <si>
    <t>Gracemere fire and rescue</t>
  </si>
  <si>
    <t>Woollam constructions</t>
  </si>
  <si>
    <t>Jess Shaw</t>
  </si>
  <si>
    <t>jess.shaw@woollamconstructions.com.au</t>
  </si>
  <si>
    <t>Gracemere</t>
  </si>
  <si>
    <t xml:space="preserve">Hychem roll coats </t>
  </si>
  <si>
    <t>9kg + pigment 1kg =6.7L</t>
  </si>
  <si>
    <t>PA Pigment</t>
  </si>
  <si>
    <t>Q262</t>
  </si>
  <si>
    <t>alo oxide</t>
  </si>
  <si>
    <t>25kg</t>
  </si>
  <si>
    <t>m3 GP</t>
  </si>
  <si>
    <t>20kg = 12L</t>
  </si>
  <si>
    <t>Sand 2mm</t>
  </si>
  <si>
    <t>41.5 bags/m3</t>
  </si>
  <si>
    <t>41.5bags/m3</t>
  </si>
  <si>
    <t>2.025 kits /m3</t>
  </si>
  <si>
    <t>cost per m3</t>
  </si>
  <si>
    <t>Subfill</t>
  </si>
  <si>
    <t>Woolworths Coomera East</t>
  </si>
  <si>
    <t>linemarking chevron and epoxy ramps</t>
  </si>
  <si>
    <t>Polyvac</t>
  </si>
  <si>
    <t>Woolworths</t>
  </si>
  <si>
    <t>8L</t>
  </si>
  <si>
    <t xml:space="preserve">Sika Purcem </t>
  </si>
  <si>
    <t xml:space="preserve">4-6mm trowel no seal </t>
  </si>
  <si>
    <t>should be another week or so,</t>
  </si>
  <si>
    <t>Sika Duraseal</t>
  </si>
  <si>
    <t>5m2 fist coat</t>
  </si>
  <si>
    <t>10m2 second coat</t>
  </si>
  <si>
    <t>6mm</t>
  </si>
  <si>
    <t>Sika 94 Epoxy Screed</t>
  </si>
  <si>
    <t>30kg = 27.27L</t>
  </si>
  <si>
    <t>Sikafloor 94 pt A</t>
  </si>
  <si>
    <t>Sikafloor 94 pt B</t>
  </si>
  <si>
    <t>10kg</t>
  </si>
  <si>
    <t>Sand</t>
  </si>
  <si>
    <t>L required 94</t>
  </si>
  <si>
    <t>6.7m2 at 125 microns</t>
  </si>
  <si>
    <t>7m2/L at 100 microns</t>
  </si>
  <si>
    <t>Luxafloor LGE pta clear base</t>
  </si>
  <si>
    <t>Luxafloor LGE ptb</t>
  </si>
  <si>
    <t>Luxafloor PTX  pta</t>
  </si>
  <si>
    <t>Luxafloor PTX ptb</t>
  </si>
  <si>
    <t>Yellow &amp; Red</t>
  </si>
  <si>
    <t>revised quote sent</t>
  </si>
  <si>
    <t>Jake revising and submitting</t>
  </si>
  <si>
    <t>awaiting feedback from client</t>
  </si>
  <si>
    <t>Alo Oxide</t>
  </si>
  <si>
    <t>CA 60 @ 10% by weight</t>
  </si>
  <si>
    <t>Esk SS</t>
  </si>
  <si>
    <t>Q263</t>
  </si>
  <si>
    <t>40g/L</t>
  </si>
  <si>
    <t>50g/m2</t>
  </si>
  <si>
    <t>CA 60</t>
  </si>
  <si>
    <t>268g/m2</t>
  </si>
  <si>
    <t>Q264</t>
  </si>
  <si>
    <t>Hymba Yumba</t>
  </si>
  <si>
    <t>Leanne Cameron</t>
  </si>
  <si>
    <t>Ecolour Sierra</t>
  </si>
  <si>
    <t>4L</t>
  </si>
  <si>
    <t>8m2</t>
  </si>
  <si>
    <t>Q265</t>
  </si>
  <si>
    <t>Collin House</t>
  </si>
  <si>
    <t>Ecolour</t>
  </si>
  <si>
    <t>2 coat rollcoat</t>
  </si>
  <si>
    <t>Brisbane</t>
  </si>
  <si>
    <t xml:space="preserve">2 coat roll coat with alo ca 80 </t>
  </si>
  <si>
    <t>luxafloor lge</t>
  </si>
  <si>
    <t xml:space="preserve">sand total of literage </t>
  </si>
  <si>
    <t>996L Sand : 162L Resin in m3</t>
  </si>
  <si>
    <t>Q266</t>
  </si>
  <si>
    <t>Beaudesert Police Station</t>
  </si>
  <si>
    <t>Beaudesert</t>
  </si>
  <si>
    <t>2 coat roll coat sealer</t>
  </si>
  <si>
    <t>Lost to local at 60%</t>
  </si>
  <si>
    <t xml:space="preserve">Surecote 200 pta </t>
  </si>
  <si>
    <t>Surecote 200 ptb</t>
  </si>
  <si>
    <t>Surecote</t>
  </si>
  <si>
    <t>12L</t>
  </si>
  <si>
    <t>50m2/kit (2 coats)</t>
  </si>
  <si>
    <t>Q267</t>
  </si>
  <si>
    <t>West End</t>
  </si>
  <si>
    <t>2 coat rollcoat and 2 coat roll coat sealer</t>
  </si>
  <si>
    <t>Surecote 200 and Duraseal</t>
  </si>
  <si>
    <t>West End Police Station</t>
  </si>
  <si>
    <t>LuxaFloor Rollcoat</t>
  </si>
  <si>
    <t>Part A</t>
  </si>
  <si>
    <t>Part B</t>
  </si>
  <si>
    <t>625L resin per bag</t>
  </si>
  <si>
    <t>Q268</t>
  </si>
  <si>
    <t xml:space="preserve">USQ Springfield </t>
  </si>
  <si>
    <t>luxafloor rollcoat</t>
  </si>
  <si>
    <t>Q269</t>
  </si>
  <si>
    <t xml:space="preserve">Browns Plains </t>
  </si>
  <si>
    <t>Q270</t>
  </si>
  <si>
    <t>Sols Snax</t>
  </si>
  <si>
    <t xml:space="preserve">Mat </t>
  </si>
  <si>
    <t>Clontarf</t>
  </si>
  <si>
    <t>2 coat rollcoat, cracks, joints and skim coat</t>
  </si>
  <si>
    <t>supafloor</t>
  </si>
  <si>
    <t>1kg/m2</t>
  </si>
  <si>
    <t>Q271</t>
  </si>
  <si>
    <t>Burringbar Park</t>
  </si>
  <si>
    <t>awaiting</t>
  </si>
  <si>
    <t>Q272</t>
  </si>
  <si>
    <t>Tamborine Truckstop</t>
  </si>
  <si>
    <t>15-20% more</t>
  </si>
  <si>
    <t xml:space="preserve">Densacon XF </t>
  </si>
  <si>
    <t>5-25m2/L</t>
  </si>
  <si>
    <t>100-500 (300)</t>
  </si>
  <si>
    <t>Flowfresh SL</t>
  </si>
  <si>
    <t>Aggregate</t>
  </si>
  <si>
    <t>Flowfresh coating</t>
  </si>
  <si>
    <t>7.2kg/m2</t>
  </si>
  <si>
    <t>0.75/m2</t>
  </si>
  <si>
    <t>start on 3 July</t>
  </si>
  <si>
    <t>Q273</t>
  </si>
  <si>
    <t>Sundale Coolum</t>
  </si>
  <si>
    <t>ashley cooper</t>
  </si>
  <si>
    <t>Q278</t>
  </si>
  <si>
    <t>Wallaby Hotel</t>
  </si>
  <si>
    <t xml:space="preserve">dymark </t>
  </si>
  <si>
    <t>1 coat epoxy garage system</t>
  </si>
  <si>
    <t>flowfresh 6mm</t>
  </si>
  <si>
    <t>4kg/m2</t>
  </si>
  <si>
    <t>Flowfresh Pigment paste</t>
  </si>
  <si>
    <t>0.03kg/m2</t>
  </si>
  <si>
    <t>0.2kg/m2</t>
  </si>
  <si>
    <t>Flowcrete Flowfresh 6mm</t>
  </si>
  <si>
    <t>Deckshield ED (prime coat)</t>
  </si>
  <si>
    <t>2.5m2/kg natural 3.5m2/kg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</si>
</sst>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Montserrat"/>
    </font>
    <font>
      <b/>
      <sz val="8"/>
      <color rgb="FF000000"/>
      <name val="Montserrat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11" xfId="0" applyBorder="1"/>
    <xf numFmtId="2" fontId="0" fillId="0" borderId="0" xfId="0" applyNumberFormat="1"/>
    <xf numFmtId="2" fontId="1" fillId="0" borderId="0" xfId="0" applyNumberFormat="1" applyFont="1"/>
    <xf numFmtId="2" fontId="0" fillId="0" borderId="12" xfId="0" applyNumberFormat="1" applyBorder="1"/>
    <xf numFmtId="0" fontId="1" fillId="0" borderId="13" xfId="0" applyFont="1" applyBorder="1"/>
    <xf numFmtId="0" fontId="1" fillId="0" borderId="14" xfId="0" applyFont="1" applyBorder="1"/>
    <xf numFmtId="2" fontId="1" fillId="0" borderId="9" xfId="0" applyNumberFormat="1" applyFont="1" applyBorder="1"/>
    <xf numFmtId="2" fontId="1" fillId="0" borderId="10" xfId="0" applyNumberFormat="1" applyFont="1" applyBorder="1"/>
    <xf numFmtId="165" fontId="1" fillId="0" borderId="0" xfId="0" applyNumberFormat="1" applyFont="1"/>
    <xf numFmtId="165" fontId="0" fillId="0" borderId="0" xfId="0" applyNumberFormat="1"/>
    <xf numFmtId="0" fontId="0" fillId="0" borderId="9" xfId="0" applyBorder="1"/>
    <xf numFmtId="0" fontId="0" fillId="0" borderId="15" xfId="0" applyBorder="1"/>
    <xf numFmtId="0" fontId="0" fillId="0" borderId="13" xfId="0" applyBorder="1"/>
    <xf numFmtId="0" fontId="1" fillId="0" borderId="16" xfId="0" applyFont="1" applyBorder="1"/>
    <xf numFmtId="0" fontId="0" fillId="0" borderId="0" xfId="0" applyBorder="1"/>
    <xf numFmtId="0" fontId="0" fillId="0" borderId="17" xfId="0" applyBorder="1"/>
    <xf numFmtId="0" fontId="0" fillId="0" borderId="16" xfId="0" applyBorder="1"/>
    <xf numFmtId="0" fontId="0" fillId="0" borderId="10" xfId="0" applyBorder="1"/>
    <xf numFmtId="0" fontId="0" fillId="0" borderId="18" xfId="0" applyBorder="1"/>
    <xf numFmtId="0" fontId="0" fillId="0" borderId="14" xfId="0" applyBorder="1"/>
    <xf numFmtId="0" fontId="1" fillId="0" borderId="15" xfId="0" applyFont="1" applyBorder="1"/>
    <xf numFmtId="0" fontId="1" fillId="0" borderId="0" xfId="0" applyFont="1" applyBorder="1"/>
    <xf numFmtId="0" fontId="0" fillId="0" borderId="0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66" fontId="1" fillId="0" borderId="20" xfId="0" applyNumberFormat="1" applyFont="1" applyBorder="1"/>
    <xf numFmtId="166" fontId="0" fillId="0" borderId="0" xfId="0" applyNumberFormat="1" applyBorder="1"/>
    <xf numFmtId="166" fontId="0" fillId="0" borderId="18" xfId="0" applyNumberFormat="1" applyBorder="1"/>
    <xf numFmtId="166" fontId="0" fillId="0" borderId="0" xfId="0" applyNumberFormat="1"/>
    <xf numFmtId="0" fontId="0" fillId="0" borderId="0" xfId="0" applyFill="1" applyBorder="1"/>
    <xf numFmtId="166" fontId="0" fillId="0" borderId="17" xfId="0" applyNumberFormat="1" applyBorder="1"/>
    <xf numFmtId="0" fontId="0" fillId="0" borderId="16" xfId="0" applyFill="1" applyBorder="1"/>
    <xf numFmtId="166" fontId="0" fillId="0" borderId="14" xfId="0" applyNumberForma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6" fontId="1" fillId="0" borderId="7" xfId="0" applyNumberFormat="1" applyFont="1" applyBorder="1"/>
    <xf numFmtId="166" fontId="0" fillId="0" borderId="15" xfId="0" applyNumberFormat="1" applyBorder="1"/>
    <xf numFmtId="166" fontId="0" fillId="0" borderId="13" xfId="0" applyNumberFormat="1" applyBorder="1"/>
    <xf numFmtId="166" fontId="1" fillId="0" borderId="17" xfId="0" applyNumberFormat="1" applyFont="1" applyBorder="1"/>
    <xf numFmtId="0" fontId="1" fillId="0" borderId="17" xfId="0" applyFont="1" applyBorder="1"/>
    <xf numFmtId="4" fontId="1" fillId="0" borderId="17" xfId="0" applyNumberFormat="1" applyFont="1" applyBorder="1"/>
    <xf numFmtId="2" fontId="1" fillId="0" borderId="15" xfId="0" applyNumberFormat="1" applyFont="1" applyBorder="1"/>
    <xf numFmtId="2" fontId="1" fillId="0" borderId="18" xfId="0" applyNumberFormat="1" applyFont="1" applyBorder="1"/>
    <xf numFmtId="4" fontId="1" fillId="0" borderId="7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6" fontId="1" fillId="0" borderId="24" xfId="0" applyNumberFormat="1" applyFont="1" applyFill="1" applyBorder="1"/>
    <xf numFmtId="0" fontId="1" fillId="0" borderId="5" xfId="0" applyFont="1" applyFill="1" applyBorder="1"/>
    <xf numFmtId="0" fontId="0" fillId="0" borderId="25" xfId="0" applyBorder="1"/>
    <xf numFmtId="2" fontId="0" fillId="0" borderId="26" xfId="0" applyNumberFormat="1" applyBorder="1"/>
    <xf numFmtId="0" fontId="0" fillId="0" borderId="11" xfId="0" applyFill="1" applyBorder="1"/>
    <xf numFmtId="2" fontId="1" fillId="0" borderId="27" xfId="0" applyNumberFormat="1" applyFont="1" applyBorder="1"/>
    <xf numFmtId="2" fontId="1" fillId="0" borderId="28" xfId="0" applyNumberFormat="1" applyFont="1" applyBorder="1"/>
    <xf numFmtId="2" fontId="1" fillId="0" borderId="29" xfId="0" applyNumberFormat="1" applyFont="1" applyBorder="1"/>
    <xf numFmtId="2" fontId="1" fillId="0" borderId="16" xfId="0" applyNumberFormat="1" applyFont="1" applyBorder="1"/>
    <xf numFmtId="2" fontId="1" fillId="0" borderId="5" xfId="0" applyNumberFormat="1" applyFont="1" applyBorder="1"/>
    <xf numFmtId="0" fontId="0" fillId="0" borderId="25" xfId="0" applyFill="1" applyBorder="1"/>
    <xf numFmtId="2" fontId="1" fillId="0" borderId="30" xfId="0" applyNumberFormat="1" applyFont="1" applyBorder="1"/>
    <xf numFmtId="0" fontId="0" fillId="0" borderId="9" xfId="0" applyFont="1" applyFill="1" applyBorder="1"/>
    <xf numFmtId="0" fontId="0" fillId="0" borderId="15" xfId="0" applyFont="1" applyFill="1" applyBorder="1"/>
    <xf numFmtId="166" fontId="0" fillId="0" borderId="15" xfId="0" applyNumberFormat="1" applyFont="1" applyBorder="1"/>
    <xf numFmtId="0" fontId="0" fillId="0" borderId="13" xfId="0" applyFont="1" applyBorder="1"/>
    <xf numFmtId="0" fontId="0" fillId="0" borderId="10" xfId="0" applyFont="1" applyFill="1" applyBorder="1"/>
    <xf numFmtId="0" fontId="0" fillId="0" borderId="18" xfId="0" applyFont="1" applyFill="1" applyBorder="1"/>
    <xf numFmtId="166" fontId="0" fillId="0" borderId="18" xfId="0" applyNumberFormat="1" applyFont="1" applyBorder="1"/>
    <xf numFmtId="0" fontId="0" fillId="0" borderId="14" xfId="0" applyFont="1" applyBorder="1"/>
    <xf numFmtId="166" fontId="0" fillId="0" borderId="16" xfId="0" applyNumberFormat="1" applyBorder="1"/>
    <xf numFmtId="0" fontId="0" fillId="0" borderId="9" xfId="0" applyFill="1" applyBorder="1"/>
    <xf numFmtId="0" fontId="0" fillId="0" borderId="10" xfId="0" applyFill="1" applyBorder="1"/>
    <xf numFmtId="0" fontId="0" fillId="0" borderId="18" xfId="0" applyFill="1" applyBorder="1"/>
    <xf numFmtId="4" fontId="0" fillId="0" borderId="0" xfId="0" applyNumberFormat="1"/>
    <xf numFmtId="166" fontId="1" fillId="0" borderId="0" xfId="0" applyNumberFormat="1" applyFont="1" applyBorder="1"/>
    <xf numFmtId="0" fontId="0" fillId="0" borderId="15" xfId="0" applyFill="1" applyBorder="1"/>
    <xf numFmtId="0" fontId="0" fillId="0" borderId="13" xfId="0" applyFill="1" applyBorder="1"/>
    <xf numFmtId="0" fontId="0" fillId="0" borderId="6" xfId="0" applyBorder="1"/>
    <xf numFmtId="0" fontId="1" fillId="0" borderId="18" xfId="0" applyFont="1" applyBorder="1"/>
    <xf numFmtId="166" fontId="1" fillId="0" borderId="15" xfId="0" applyNumberFormat="1" applyFont="1" applyBorder="1"/>
    <xf numFmtId="0" fontId="0" fillId="0" borderId="22" xfId="0" applyFill="1" applyBorder="1"/>
    <xf numFmtId="0" fontId="0" fillId="0" borderId="23" xfId="0" applyBorder="1"/>
    <xf numFmtId="166" fontId="0" fillId="0" borderId="23" xfId="0" applyNumberFormat="1" applyBorder="1"/>
    <xf numFmtId="0" fontId="0" fillId="0" borderId="24" xfId="0" applyBorder="1"/>
    <xf numFmtId="0" fontId="0" fillId="0" borderId="14" xfId="0" applyFill="1" applyBorder="1"/>
    <xf numFmtId="0" fontId="0" fillId="0" borderId="17" xfId="0" applyFill="1" applyBorder="1"/>
    <xf numFmtId="166" fontId="0" fillId="0" borderId="0" xfId="0" applyNumberFormat="1" applyFill="1" applyBorder="1"/>
    <xf numFmtId="166" fontId="1" fillId="0" borderId="6" xfId="0" applyNumberFormat="1" applyFont="1" applyBorder="1"/>
    <xf numFmtId="0" fontId="1" fillId="0" borderId="24" xfId="0" applyFont="1" applyBorder="1"/>
    <xf numFmtId="0" fontId="0" fillId="0" borderId="7" xfId="0" applyBorder="1"/>
    <xf numFmtId="166" fontId="0" fillId="0" borderId="7" xfId="0" applyNumberFormat="1" applyBorder="1"/>
    <xf numFmtId="0" fontId="1" fillId="3" borderId="9" xfId="0" applyFont="1" applyFill="1" applyBorder="1"/>
    <xf numFmtId="0" fontId="0" fillId="3" borderId="9" xfId="0" applyFill="1" applyBorder="1"/>
    <xf numFmtId="0" fontId="0" fillId="3" borderId="15" xfId="0" applyFill="1" applyBorder="1"/>
    <xf numFmtId="166" fontId="0" fillId="3" borderId="15" xfId="0" applyNumberFormat="1" applyFill="1" applyBorder="1"/>
    <xf numFmtId="0" fontId="0" fillId="3" borderId="13" xfId="0" applyFill="1" applyBorder="1"/>
    <xf numFmtId="0" fontId="1" fillId="3" borderId="13" xfId="0" applyFont="1" applyFill="1" applyBorder="1"/>
    <xf numFmtId="20" fontId="1" fillId="3" borderId="16" xfId="0" applyNumberFormat="1" applyFont="1" applyFill="1" applyBorder="1"/>
    <xf numFmtId="0" fontId="0" fillId="3" borderId="16" xfId="0" applyFill="1" applyBorder="1"/>
    <xf numFmtId="0" fontId="0" fillId="3" borderId="0" xfId="0" applyFill="1" applyBorder="1"/>
    <xf numFmtId="166" fontId="0" fillId="3" borderId="0" xfId="0" applyNumberFormat="1" applyFill="1" applyBorder="1"/>
    <xf numFmtId="0" fontId="0" fillId="3" borderId="17" xfId="0" applyFill="1" applyBorder="1"/>
    <xf numFmtId="166" fontId="1" fillId="3" borderId="17" xfId="0" applyNumberFormat="1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0" fillId="3" borderId="10" xfId="0" applyFill="1" applyBorder="1"/>
    <xf numFmtId="0" fontId="0" fillId="3" borderId="18" xfId="0" applyFill="1" applyBorder="1"/>
    <xf numFmtId="166" fontId="0" fillId="3" borderId="18" xfId="0" applyNumberFormat="1" applyFill="1" applyBorder="1"/>
    <xf numFmtId="0" fontId="0" fillId="3" borderId="14" xfId="0" applyFill="1" applyBorder="1"/>
    <xf numFmtId="0" fontId="1" fillId="3" borderId="10" xfId="0" applyFont="1" applyFill="1" applyBorder="1"/>
    <xf numFmtId="0" fontId="1" fillId="3" borderId="14" xfId="0" applyFont="1" applyFill="1" applyBorder="1"/>
    <xf numFmtId="0" fontId="0" fillId="2" borderId="16" xfId="0" applyFill="1" applyBorder="1"/>
    <xf numFmtId="0" fontId="0" fillId="2" borderId="0" xfId="0" applyFill="1" applyBorder="1"/>
    <xf numFmtId="166" fontId="0" fillId="2" borderId="0" xfId="0" applyNumberFormat="1" applyFill="1" applyBorder="1"/>
    <xf numFmtId="0" fontId="0" fillId="2" borderId="17" xfId="0" applyFill="1" applyBorder="1"/>
    <xf numFmtId="166" fontId="1" fillId="2" borderId="7" xfId="0" applyNumberFormat="1" applyFont="1" applyFill="1" applyBorder="1"/>
    <xf numFmtId="0" fontId="1" fillId="2" borderId="17" xfId="0" applyFont="1" applyFill="1" applyBorder="1"/>
    <xf numFmtId="166" fontId="0" fillId="3" borderId="7" xfId="0" applyNumberForma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4" fontId="0" fillId="0" borderId="31" xfId="0" applyNumberFormat="1" applyBorder="1"/>
    <xf numFmtId="49" fontId="0" fillId="0" borderId="31" xfId="0" applyNumberFormat="1" applyBorder="1"/>
    <xf numFmtId="0" fontId="0" fillId="0" borderId="31" xfId="0" applyBorder="1"/>
    <xf numFmtId="165" fontId="0" fillId="0" borderId="31" xfId="0" applyNumberFormat="1" applyBorder="1"/>
    <xf numFmtId="164" fontId="0" fillId="0" borderId="0" xfId="0" applyNumberFormat="1"/>
    <xf numFmtId="14" fontId="0" fillId="4" borderId="31" xfId="0" applyNumberFormat="1" applyFill="1" applyBorder="1"/>
    <xf numFmtId="49" fontId="0" fillId="4" borderId="31" xfId="0" applyNumberFormat="1" applyFill="1" applyBorder="1"/>
    <xf numFmtId="0" fontId="0" fillId="4" borderId="31" xfId="0" applyFill="1" applyBorder="1"/>
    <xf numFmtId="165" fontId="0" fillId="4" borderId="31" xfId="0" applyNumberFormat="1" applyFill="1" applyBorder="1"/>
    <xf numFmtId="14" fontId="0" fillId="4" borderId="0" xfId="0" applyNumberFormat="1" applyFill="1"/>
    <xf numFmtId="49" fontId="0" fillId="4" borderId="0" xfId="0" applyNumberFormat="1" applyFill="1"/>
    <xf numFmtId="0" fontId="0" fillId="4" borderId="0" xfId="0" applyFill="1"/>
    <xf numFmtId="165" fontId="0" fillId="4" borderId="0" xfId="0" applyNumberFormat="1" applyFill="1"/>
    <xf numFmtId="0" fontId="2" fillId="4" borderId="0" xfId="1" applyFill="1"/>
    <xf numFmtId="14" fontId="0" fillId="5" borderId="0" xfId="0" applyNumberFormat="1" applyFill="1"/>
    <xf numFmtId="49" fontId="0" fillId="5" borderId="0" xfId="0" applyNumberFormat="1" applyFill="1"/>
    <xf numFmtId="0" fontId="0" fillId="5" borderId="0" xfId="0" applyFill="1"/>
    <xf numFmtId="0" fontId="2" fillId="5" borderId="0" xfId="1" applyFill="1"/>
    <xf numFmtId="165" fontId="0" fillId="5" borderId="0" xfId="0" applyNumberFormat="1" applyFill="1"/>
    <xf numFmtId="0" fontId="0" fillId="0" borderId="8" xfId="0" applyBorder="1"/>
    <xf numFmtId="0" fontId="0" fillId="0" borderId="22" xfId="0" applyBorder="1"/>
    <xf numFmtId="14" fontId="0" fillId="5" borderId="31" xfId="0" applyNumberFormat="1" applyFill="1" applyBorder="1"/>
    <xf numFmtId="49" fontId="0" fillId="5" borderId="31" xfId="0" applyNumberFormat="1" applyFill="1" applyBorder="1"/>
    <xf numFmtId="0" fontId="0" fillId="5" borderId="31" xfId="0" applyFill="1" applyBorder="1"/>
    <xf numFmtId="165" fontId="0" fillId="5" borderId="31" xfId="0" applyNumberFormat="1" applyFill="1" applyBorder="1"/>
    <xf numFmtId="1" fontId="0" fillId="0" borderId="0" xfId="0" applyNumberFormat="1"/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rrenc@farrago.com.au" TargetMode="External"/><Relationship Id="rId2" Type="http://schemas.openxmlformats.org/officeDocument/2006/relationships/hyperlink" Target="mailto:estimatingqld@kane.com.au" TargetMode="External"/><Relationship Id="rId1" Type="http://schemas.openxmlformats.org/officeDocument/2006/relationships/hyperlink" Target="mailto:mitchell@landmarkgr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ess.shaw@woollamconstructions.com.a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DDCB-C687-420F-9D2D-C47874CC985B}">
  <dimension ref="A1:S25"/>
  <sheetViews>
    <sheetView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0.5703125" bestFit="1" customWidth="1"/>
    <col min="2" max="2" width="8.85546875" style="4"/>
    <col min="3" max="3" width="41" style="4" customWidth="1"/>
    <col min="5" max="5" width="10.5703125" bestFit="1" customWidth="1"/>
    <col min="6" max="6" width="10" bestFit="1" customWidth="1"/>
    <col min="7" max="7" width="39" bestFit="1" customWidth="1"/>
    <col min="8" max="8" width="8.85546875" bestFit="1" customWidth="1"/>
    <col min="9" max="9" width="14.5703125" bestFit="1" customWidth="1"/>
    <col min="10" max="10" width="19.7109375" bestFit="1" customWidth="1"/>
    <col min="15" max="15" width="14.28515625" style="22" bestFit="1" customWidth="1"/>
    <col min="18" max="18" width="12.42578125" customWidth="1"/>
  </cols>
  <sheetData>
    <row r="1" spans="1:19" x14ac:dyDescent="0.25">
      <c r="A1" s="1" t="s">
        <v>5</v>
      </c>
      <c r="B1" s="3" t="s">
        <v>6</v>
      </c>
      <c r="C1" s="3" t="s">
        <v>0</v>
      </c>
      <c r="D1" s="1" t="s">
        <v>1</v>
      </c>
      <c r="E1" s="1" t="s">
        <v>2</v>
      </c>
      <c r="F1" s="1" t="s">
        <v>6</v>
      </c>
      <c r="G1" s="1" t="s">
        <v>7</v>
      </c>
      <c r="H1" s="1" t="s">
        <v>10</v>
      </c>
      <c r="I1" s="1" t="s">
        <v>4</v>
      </c>
      <c r="J1" s="1" t="s">
        <v>8</v>
      </c>
      <c r="K1" s="1" t="s">
        <v>95</v>
      </c>
      <c r="L1" s="1" t="s">
        <v>88</v>
      </c>
      <c r="M1" s="1" t="s">
        <v>126</v>
      </c>
      <c r="N1" s="1" t="s">
        <v>148</v>
      </c>
      <c r="O1" s="21" t="s">
        <v>93</v>
      </c>
      <c r="P1" s="1" t="s">
        <v>149</v>
      </c>
      <c r="Q1" s="1" t="s">
        <v>255</v>
      </c>
      <c r="R1" s="1" t="s">
        <v>150</v>
      </c>
    </row>
    <row r="2" spans="1:19" x14ac:dyDescent="0.25">
      <c r="A2" s="142">
        <v>43978</v>
      </c>
      <c r="B2" s="143" t="s">
        <v>142</v>
      </c>
      <c r="C2" s="143" t="s">
        <v>96</v>
      </c>
      <c r="D2" s="144" t="s">
        <v>89</v>
      </c>
      <c r="E2" s="144" t="s">
        <v>90</v>
      </c>
      <c r="F2" s="144">
        <v>414674093</v>
      </c>
      <c r="G2" s="146" t="s">
        <v>91</v>
      </c>
      <c r="H2" s="144"/>
      <c r="I2" s="144" t="s">
        <v>94</v>
      </c>
      <c r="J2" s="144" t="s">
        <v>92</v>
      </c>
      <c r="K2" s="144">
        <v>55</v>
      </c>
      <c r="L2" s="144"/>
      <c r="M2" s="145">
        <f>O2/K2</f>
        <v>48.18181818181818</v>
      </c>
      <c r="N2" s="145"/>
      <c r="O2" s="145">
        <v>2650</v>
      </c>
      <c r="P2" s="144" t="s">
        <v>205</v>
      </c>
      <c r="R2" s="2"/>
    </row>
    <row r="3" spans="1:19" x14ac:dyDescent="0.25">
      <c r="A3" s="2">
        <v>43978</v>
      </c>
      <c r="B3" s="4" t="s">
        <v>143</v>
      </c>
      <c r="C3" s="4" t="s">
        <v>144</v>
      </c>
      <c r="D3" t="s">
        <v>145</v>
      </c>
      <c r="E3" t="s">
        <v>9</v>
      </c>
      <c r="F3">
        <v>730541555</v>
      </c>
      <c r="G3" s="5" t="s">
        <v>12</v>
      </c>
      <c r="H3" t="s">
        <v>11</v>
      </c>
      <c r="I3" t="s">
        <v>146</v>
      </c>
      <c r="J3" t="s">
        <v>147</v>
      </c>
      <c r="K3">
        <v>85.96</v>
      </c>
      <c r="L3">
        <v>45.45</v>
      </c>
      <c r="M3" s="22">
        <v>40.24</v>
      </c>
      <c r="N3" s="22">
        <v>49.42</v>
      </c>
      <c r="O3" s="22">
        <v>5705</v>
      </c>
      <c r="P3" t="s">
        <v>151</v>
      </c>
      <c r="R3" s="2">
        <v>43990</v>
      </c>
      <c r="S3" t="s">
        <v>322</v>
      </c>
    </row>
    <row r="4" spans="1:19" x14ac:dyDescent="0.25">
      <c r="A4" s="2">
        <v>43980</v>
      </c>
      <c r="B4" s="4" t="s">
        <v>200</v>
      </c>
      <c r="C4" s="4" t="s">
        <v>201</v>
      </c>
      <c r="D4" t="s">
        <v>202</v>
      </c>
      <c r="I4" t="s">
        <v>203</v>
      </c>
      <c r="J4" t="s">
        <v>204</v>
      </c>
      <c r="K4">
        <v>541.14</v>
      </c>
      <c r="L4">
        <v>37.93</v>
      </c>
      <c r="O4" s="22">
        <v>43490</v>
      </c>
      <c r="P4" t="s">
        <v>151</v>
      </c>
    </row>
    <row r="5" spans="1:19" s="135" customFormat="1" x14ac:dyDescent="0.25">
      <c r="A5" s="138">
        <v>43980</v>
      </c>
      <c r="B5" s="139" t="s">
        <v>210</v>
      </c>
      <c r="C5" s="139" t="s">
        <v>208</v>
      </c>
      <c r="D5" s="140" t="s">
        <v>209</v>
      </c>
      <c r="E5" s="140"/>
      <c r="F5" s="140"/>
      <c r="G5" s="140"/>
      <c r="H5" s="140" t="s">
        <v>247</v>
      </c>
      <c r="I5" s="140" t="s">
        <v>203</v>
      </c>
      <c r="J5" s="140" t="s">
        <v>204</v>
      </c>
      <c r="K5" s="140">
        <v>28</v>
      </c>
      <c r="L5" s="140">
        <v>33.36</v>
      </c>
      <c r="M5" s="140"/>
      <c r="N5" s="140"/>
      <c r="O5" s="141">
        <v>7434</v>
      </c>
      <c r="P5" s="140" t="s">
        <v>151</v>
      </c>
      <c r="R5" s="133">
        <v>43990</v>
      </c>
      <c r="S5" s="135" t="s">
        <v>371</v>
      </c>
    </row>
    <row r="6" spans="1:19" x14ac:dyDescent="0.25">
      <c r="A6" s="142">
        <v>43983</v>
      </c>
      <c r="B6" s="143" t="s">
        <v>217</v>
      </c>
      <c r="C6" s="143" t="s">
        <v>211</v>
      </c>
      <c r="D6" s="144" t="s">
        <v>209</v>
      </c>
      <c r="E6" s="144"/>
      <c r="F6" s="144"/>
      <c r="G6" s="144"/>
      <c r="H6" s="144" t="s">
        <v>246</v>
      </c>
      <c r="I6" s="144" t="s">
        <v>212</v>
      </c>
      <c r="J6" s="144" t="s">
        <v>213</v>
      </c>
      <c r="K6" s="144">
        <v>270</v>
      </c>
      <c r="L6" s="144"/>
      <c r="M6" s="145">
        <f>O6/K6</f>
        <v>101.9074074074074</v>
      </c>
      <c r="N6" s="144"/>
      <c r="O6" s="145">
        <v>27515</v>
      </c>
      <c r="P6" s="144" t="s">
        <v>151</v>
      </c>
      <c r="R6" s="2">
        <v>43990</v>
      </c>
      <c r="S6" t="s">
        <v>403</v>
      </c>
    </row>
    <row r="7" spans="1:19" x14ac:dyDescent="0.25">
      <c r="A7" s="147">
        <v>43984</v>
      </c>
      <c r="B7" s="148" t="s">
        <v>240</v>
      </c>
      <c r="C7" s="148" t="s">
        <v>244</v>
      </c>
      <c r="D7" s="149" t="s">
        <v>241</v>
      </c>
      <c r="E7" s="149" t="s">
        <v>242</v>
      </c>
      <c r="F7" s="149"/>
      <c r="G7" s="150" t="s">
        <v>243</v>
      </c>
      <c r="H7" s="149" t="s">
        <v>245</v>
      </c>
      <c r="I7" s="149" t="s">
        <v>248</v>
      </c>
      <c r="J7" s="149"/>
      <c r="K7" s="149">
        <v>18</v>
      </c>
      <c r="L7" s="149">
        <v>17.11</v>
      </c>
      <c r="M7" s="149"/>
      <c r="N7" s="149"/>
      <c r="O7" s="151">
        <v>4970</v>
      </c>
      <c r="P7" s="149" t="s">
        <v>254</v>
      </c>
      <c r="Q7" s="149" t="s">
        <v>256</v>
      </c>
    </row>
    <row r="8" spans="1:19" x14ac:dyDescent="0.25">
      <c r="A8" s="2">
        <v>43984</v>
      </c>
      <c r="B8" s="4" t="s">
        <v>250</v>
      </c>
      <c r="C8" s="4" t="s">
        <v>251</v>
      </c>
      <c r="D8" t="s">
        <v>209</v>
      </c>
      <c r="H8" t="s">
        <v>252</v>
      </c>
      <c r="I8" t="s">
        <v>253</v>
      </c>
      <c r="K8">
        <v>395</v>
      </c>
      <c r="M8">
        <v>65</v>
      </c>
      <c r="O8" s="22">
        <v>25675</v>
      </c>
      <c r="P8" t="s">
        <v>151</v>
      </c>
      <c r="R8" s="2">
        <v>43990</v>
      </c>
      <c r="S8" t="s">
        <v>343</v>
      </c>
    </row>
    <row r="9" spans="1:19" x14ac:dyDescent="0.25">
      <c r="A9" s="2">
        <v>43984</v>
      </c>
      <c r="B9" s="4" t="s">
        <v>257</v>
      </c>
      <c r="C9" s="4" t="s">
        <v>258</v>
      </c>
      <c r="D9" t="s">
        <v>259</v>
      </c>
      <c r="E9" t="s">
        <v>260</v>
      </c>
      <c r="H9" t="s">
        <v>209</v>
      </c>
      <c r="I9" t="s">
        <v>261</v>
      </c>
      <c r="J9" t="s">
        <v>160</v>
      </c>
      <c r="O9" s="22">
        <v>16924</v>
      </c>
      <c r="P9" t="s">
        <v>151</v>
      </c>
    </row>
    <row r="10" spans="1:19" x14ac:dyDescent="0.25">
      <c r="A10" s="2">
        <v>43984</v>
      </c>
      <c r="B10" s="4" t="s">
        <v>262</v>
      </c>
      <c r="C10" s="4" t="s">
        <v>263</v>
      </c>
      <c r="D10" t="s">
        <v>241</v>
      </c>
      <c r="E10" t="s">
        <v>242</v>
      </c>
      <c r="H10" t="s">
        <v>264</v>
      </c>
      <c r="O10" s="22">
        <v>5807</v>
      </c>
      <c r="P10" t="s">
        <v>151</v>
      </c>
      <c r="R10" s="2">
        <v>43990</v>
      </c>
      <c r="S10" t="s">
        <v>342</v>
      </c>
    </row>
    <row r="11" spans="1:19" x14ac:dyDescent="0.25">
      <c r="A11" s="2">
        <v>43985</v>
      </c>
      <c r="B11" s="4" t="s">
        <v>280</v>
      </c>
      <c r="C11" s="4" t="s">
        <v>281</v>
      </c>
      <c r="D11" t="s">
        <v>209</v>
      </c>
      <c r="H11" t="s">
        <v>282</v>
      </c>
      <c r="K11">
        <v>12122</v>
      </c>
      <c r="M11" s="22">
        <f>O11/K11</f>
        <v>167.24509156904801</v>
      </c>
      <c r="O11" s="22">
        <v>2027345</v>
      </c>
      <c r="P11" t="s">
        <v>151</v>
      </c>
    </row>
    <row r="12" spans="1:19" x14ac:dyDescent="0.25">
      <c r="A12" s="2">
        <v>43986</v>
      </c>
      <c r="B12" s="4" t="s">
        <v>295</v>
      </c>
      <c r="C12" s="4" t="s">
        <v>296</v>
      </c>
      <c r="D12" t="s">
        <v>297</v>
      </c>
      <c r="E12" t="s">
        <v>298</v>
      </c>
      <c r="G12" s="5" t="s">
        <v>299</v>
      </c>
      <c r="H12" t="s">
        <v>300</v>
      </c>
      <c r="I12" t="s">
        <v>301</v>
      </c>
      <c r="J12" t="s">
        <v>152</v>
      </c>
      <c r="O12" s="22">
        <v>17422</v>
      </c>
      <c r="P12" t="s">
        <v>151</v>
      </c>
    </row>
    <row r="13" spans="1:19" s="135" customFormat="1" x14ac:dyDescent="0.25">
      <c r="A13" s="133">
        <v>43986</v>
      </c>
      <c r="B13" s="134" t="s">
        <v>304</v>
      </c>
      <c r="C13" s="134" t="s">
        <v>315</v>
      </c>
      <c r="D13" s="135" t="s">
        <v>209</v>
      </c>
      <c r="I13" s="135" t="s">
        <v>316</v>
      </c>
      <c r="O13" s="136">
        <v>20002</v>
      </c>
      <c r="P13" s="135" t="s">
        <v>151</v>
      </c>
      <c r="R13" s="133">
        <v>43990</v>
      </c>
      <c r="S13" s="135" t="s">
        <v>341</v>
      </c>
    </row>
    <row r="14" spans="1:19" x14ac:dyDescent="0.25">
      <c r="A14" s="2">
        <v>43990</v>
      </c>
      <c r="B14" s="4" t="s">
        <v>347</v>
      </c>
      <c r="C14" s="4" t="s">
        <v>346</v>
      </c>
      <c r="D14">
        <v>8</v>
      </c>
      <c r="I14" t="s">
        <v>203</v>
      </c>
      <c r="J14" t="s">
        <v>204</v>
      </c>
      <c r="K14">
        <v>57.87</v>
      </c>
      <c r="L14">
        <v>59.78</v>
      </c>
      <c r="O14" s="22">
        <v>7100</v>
      </c>
      <c r="P14" t="s">
        <v>151</v>
      </c>
    </row>
    <row r="15" spans="1:19" x14ac:dyDescent="0.25">
      <c r="A15" s="2">
        <v>43992</v>
      </c>
      <c r="B15" s="4" t="s">
        <v>352</v>
      </c>
      <c r="C15" s="4" t="s">
        <v>353</v>
      </c>
      <c r="D15" t="s">
        <v>202</v>
      </c>
      <c r="E15" t="s">
        <v>354</v>
      </c>
      <c r="H15" t="s">
        <v>282</v>
      </c>
      <c r="I15" t="s">
        <v>363</v>
      </c>
      <c r="J15" t="s">
        <v>364</v>
      </c>
      <c r="K15">
        <v>166.03</v>
      </c>
      <c r="M15" s="22">
        <f t="shared" ref="M15:M21" si="0">O15/K15</f>
        <v>37.908811660543272</v>
      </c>
      <c r="O15" s="22">
        <v>6294</v>
      </c>
      <c r="P15" t="s">
        <v>151</v>
      </c>
    </row>
    <row r="16" spans="1:19" x14ac:dyDescent="0.25">
      <c r="A16" s="2">
        <v>43992</v>
      </c>
      <c r="B16" s="4" t="s">
        <v>358</v>
      </c>
      <c r="C16" s="4" t="s">
        <v>359</v>
      </c>
      <c r="D16" t="s">
        <v>202</v>
      </c>
      <c r="E16" t="s">
        <v>354</v>
      </c>
      <c r="H16" t="s">
        <v>362</v>
      </c>
      <c r="I16" t="s">
        <v>361</v>
      </c>
      <c r="J16" t="s">
        <v>360</v>
      </c>
      <c r="K16">
        <v>546.88</v>
      </c>
      <c r="M16" s="22">
        <f t="shared" si="0"/>
        <v>24.584918080748977</v>
      </c>
      <c r="O16" s="22">
        <v>13445</v>
      </c>
      <c r="P16" t="s">
        <v>151</v>
      </c>
    </row>
    <row r="17" spans="1:19" x14ac:dyDescent="0.25">
      <c r="A17" s="2">
        <v>43992</v>
      </c>
      <c r="B17" s="4" t="s">
        <v>367</v>
      </c>
      <c r="C17" s="4" t="s">
        <v>368</v>
      </c>
      <c r="D17" t="s">
        <v>202</v>
      </c>
      <c r="E17" t="s">
        <v>354</v>
      </c>
      <c r="H17" t="s">
        <v>369</v>
      </c>
      <c r="I17" t="s">
        <v>370</v>
      </c>
      <c r="K17">
        <v>259.48</v>
      </c>
      <c r="M17" s="22">
        <f t="shared" si="0"/>
        <v>19.620009249267763</v>
      </c>
      <c r="O17" s="22">
        <v>5091</v>
      </c>
      <c r="P17" t="s">
        <v>151</v>
      </c>
    </row>
    <row r="18" spans="1:19" x14ac:dyDescent="0.25">
      <c r="A18" s="2">
        <v>43993</v>
      </c>
      <c r="B18" s="4" t="s">
        <v>377</v>
      </c>
      <c r="C18" s="4" t="s">
        <v>381</v>
      </c>
      <c r="D18" t="s">
        <v>202</v>
      </c>
      <c r="E18" t="s">
        <v>354</v>
      </c>
      <c r="H18" t="s">
        <v>378</v>
      </c>
      <c r="I18" t="s">
        <v>379</v>
      </c>
      <c r="J18" t="s">
        <v>380</v>
      </c>
      <c r="K18">
        <v>156.66999999999999</v>
      </c>
      <c r="M18" s="22">
        <f t="shared" si="0"/>
        <v>25.665411374226082</v>
      </c>
      <c r="O18" s="22">
        <v>4021</v>
      </c>
      <c r="P18" t="s">
        <v>151</v>
      </c>
    </row>
    <row r="19" spans="1:19" x14ac:dyDescent="0.25">
      <c r="A19" s="2">
        <v>43993</v>
      </c>
      <c r="B19" s="4" t="s">
        <v>386</v>
      </c>
      <c r="C19" s="4" t="s">
        <v>387</v>
      </c>
      <c r="D19" t="s">
        <v>209</v>
      </c>
      <c r="H19" t="s">
        <v>282</v>
      </c>
      <c r="I19" t="s">
        <v>361</v>
      </c>
      <c r="J19" t="s">
        <v>388</v>
      </c>
      <c r="K19">
        <v>906.6</v>
      </c>
      <c r="M19" s="22">
        <f t="shared" si="0"/>
        <v>25.036399735274653</v>
      </c>
      <c r="O19" s="22">
        <v>22698</v>
      </c>
      <c r="P19" t="s">
        <v>151</v>
      </c>
    </row>
    <row r="20" spans="1:19" x14ac:dyDescent="0.25">
      <c r="A20" s="2">
        <v>43994</v>
      </c>
      <c r="B20" s="4" t="s">
        <v>389</v>
      </c>
      <c r="C20" s="4" t="s">
        <v>390</v>
      </c>
      <c r="D20" t="s">
        <v>209</v>
      </c>
      <c r="K20">
        <v>288.32</v>
      </c>
      <c r="M20" s="22">
        <f t="shared" si="0"/>
        <v>30.400249722530521</v>
      </c>
      <c r="O20" s="22">
        <v>8765</v>
      </c>
      <c r="P20" t="s">
        <v>151</v>
      </c>
    </row>
    <row r="21" spans="1:19" s="135" customFormat="1" x14ac:dyDescent="0.25">
      <c r="A21" s="154">
        <v>43994</v>
      </c>
      <c r="B21" s="155" t="s">
        <v>391</v>
      </c>
      <c r="C21" s="155" t="s">
        <v>392</v>
      </c>
      <c r="D21" s="156" t="s">
        <v>392</v>
      </c>
      <c r="E21" s="156" t="s">
        <v>393</v>
      </c>
      <c r="F21" s="156"/>
      <c r="G21" s="156"/>
      <c r="H21" s="156" t="s">
        <v>394</v>
      </c>
      <c r="I21" s="156" t="s">
        <v>395</v>
      </c>
      <c r="J21" s="156" t="s">
        <v>396</v>
      </c>
      <c r="K21" s="156">
        <v>305</v>
      </c>
      <c r="L21" s="156"/>
      <c r="M21" s="157">
        <f t="shared" si="0"/>
        <v>44.327868852459019</v>
      </c>
      <c r="N21" s="156"/>
      <c r="O21" s="157">
        <v>13520</v>
      </c>
      <c r="P21" s="156" t="s">
        <v>151</v>
      </c>
      <c r="S21" s="135" t="s">
        <v>412</v>
      </c>
    </row>
    <row r="22" spans="1:19" x14ac:dyDescent="0.25">
      <c r="A22" s="2">
        <v>43997</v>
      </c>
      <c r="B22" s="4" t="s">
        <v>398</v>
      </c>
      <c r="C22" s="4" t="s">
        <v>399</v>
      </c>
      <c r="D22" t="s">
        <v>415</v>
      </c>
      <c r="I22" t="s">
        <v>361</v>
      </c>
      <c r="J22" t="s">
        <v>396</v>
      </c>
      <c r="K22">
        <v>141.97999999999999</v>
      </c>
      <c r="M22" s="137">
        <v>59.8</v>
      </c>
      <c r="O22" s="137">
        <v>8490</v>
      </c>
      <c r="P22" t="s">
        <v>151</v>
      </c>
    </row>
    <row r="23" spans="1:19" x14ac:dyDescent="0.25">
      <c r="A23" s="2">
        <v>43997</v>
      </c>
      <c r="B23" s="4" t="s">
        <v>401</v>
      </c>
      <c r="C23" s="4" t="s">
        <v>402</v>
      </c>
    </row>
    <row r="24" spans="1:19" x14ac:dyDescent="0.25">
      <c r="A24" s="2">
        <v>43997</v>
      </c>
      <c r="B24" s="4" t="s">
        <v>413</v>
      </c>
      <c r="C24" s="4" t="s">
        <v>414</v>
      </c>
      <c r="D24" t="s">
        <v>209</v>
      </c>
      <c r="I24" t="s">
        <v>419</v>
      </c>
      <c r="J24" t="s">
        <v>418</v>
      </c>
      <c r="K24">
        <v>635.49</v>
      </c>
      <c r="M24" s="22">
        <f>O24/K24</f>
        <v>22.306047302081858</v>
      </c>
      <c r="O24" s="22">
        <v>14175.27</v>
      </c>
      <c r="P24" t="s">
        <v>400</v>
      </c>
    </row>
    <row r="25" spans="1:19" x14ac:dyDescent="0.25">
      <c r="A25" s="2">
        <v>43997</v>
      </c>
      <c r="B25" s="4" t="s">
        <v>416</v>
      </c>
      <c r="C25" s="4" t="s">
        <v>417</v>
      </c>
      <c r="D25" t="s">
        <v>209</v>
      </c>
      <c r="I25" t="s">
        <v>420</v>
      </c>
      <c r="K25">
        <v>122.82</v>
      </c>
      <c r="L25">
        <v>115.17</v>
      </c>
      <c r="P25" t="s">
        <v>400</v>
      </c>
    </row>
  </sheetData>
  <hyperlinks>
    <hyperlink ref="G2" r:id="rId1" xr:uid="{57A1EBE9-70E6-48DA-9D32-53DE4002489E}"/>
    <hyperlink ref="G3" r:id="rId2" xr:uid="{94A733FF-C9BF-4D05-9999-00B01A083FDF}"/>
    <hyperlink ref="G7" r:id="rId3" xr:uid="{BEC47044-14B2-423B-AE7A-F2C8B46A10DE}"/>
    <hyperlink ref="G12" r:id="rId4" xr:uid="{3AE7A214-7D7E-4229-8F33-93BBDD2EEAB4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8364-9EA5-4A95-9011-1B5C17C640A6}">
  <dimension ref="A2:E35"/>
  <sheetViews>
    <sheetView topLeftCell="A16" zoomScaleNormal="100" workbookViewId="0">
      <selection activeCell="C12" sqref="C12"/>
    </sheetView>
  </sheetViews>
  <sheetFormatPr defaultRowHeight="15" x14ac:dyDescent="0.25"/>
  <cols>
    <col min="1" max="1" width="29.7109375" customWidth="1"/>
    <col min="2" max="2" width="24.7109375" customWidth="1"/>
    <col min="3" max="3" width="22.7109375" customWidth="1"/>
  </cols>
  <sheetData>
    <row r="2" spans="1:5" ht="15.75" thickBot="1" x14ac:dyDescent="0.3"/>
    <row r="3" spans="1:5" ht="20.45" customHeight="1" thickBot="1" x14ac:dyDescent="0.3">
      <c r="A3" s="161" t="s">
        <v>13</v>
      </c>
      <c r="B3" s="162"/>
      <c r="C3" s="163"/>
    </row>
    <row r="4" spans="1:5" ht="23.25" thickBot="1" x14ac:dyDescent="0.3">
      <c r="A4" s="6" t="s">
        <v>14</v>
      </c>
      <c r="B4" s="7" t="s">
        <v>15</v>
      </c>
      <c r="C4" s="7" t="s">
        <v>16</v>
      </c>
    </row>
    <row r="5" spans="1:5" ht="34.5" thickBot="1" x14ac:dyDescent="0.3">
      <c r="A5" s="6" t="s">
        <v>17</v>
      </c>
      <c r="B5" s="159"/>
      <c r="C5" s="160"/>
    </row>
    <row r="6" spans="1:5" ht="34.5" thickBot="1" x14ac:dyDescent="0.3">
      <c r="A6" s="8" t="s">
        <v>18</v>
      </c>
      <c r="B6" s="9" t="s">
        <v>19</v>
      </c>
      <c r="C6" s="9" t="s">
        <v>20</v>
      </c>
    </row>
    <row r="7" spans="1:5" ht="34.5" thickBot="1" x14ac:dyDescent="0.3">
      <c r="A7" s="8" t="s">
        <v>18</v>
      </c>
      <c r="B7" s="9" t="s">
        <v>21</v>
      </c>
      <c r="C7" s="9" t="s">
        <v>22</v>
      </c>
    </row>
    <row r="8" spans="1:5" ht="23.25" thickBot="1" x14ac:dyDescent="0.3">
      <c r="A8" s="8" t="s">
        <v>23</v>
      </c>
      <c r="B8" s="159"/>
      <c r="C8" s="160"/>
    </row>
    <row r="9" spans="1:5" ht="23.25" thickBot="1" x14ac:dyDescent="0.3">
      <c r="A9" s="8" t="s">
        <v>24</v>
      </c>
      <c r="B9" s="9" t="s">
        <v>19</v>
      </c>
      <c r="C9" s="9" t="s">
        <v>22</v>
      </c>
      <c r="D9" t="s">
        <v>349</v>
      </c>
      <c r="E9">
        <v>80</v>
      </c>
    </row>
    <row r="10" spans="1:5" ht="23.25" thickBot="1" x14ac:dyDescent="0.3">
      <c r="A10" s="8" t="s">
        <v>25</v>
      </c>
      <c r="B10" s="9" t="s">
        <v>21</v>
      </c>
      <c r="C10" s="9" t="s">
        <v>22</v>
      </c>
    </row>
    <row r="11" spans="1:5" ht="34.5" thickBot="1" x14ac:dyDescent="0.3">
      <c r="A11" s="6" t="s">
        <v>26</v>
      </c>
      <c r="B11" s="159"/>
      <c r="C11" s="160"/>
    </row>
    <row r="12" spans="1:5" ht="34.5" thickBot="1" x14ac:dyDescent="0.3">
      <c r="A12" s="8" t="s">
        <v>27</v>
      </c>
      <c r="B12" s="9" t="s">
        <v>19</v>
      </c>
      <c r="C12" s="9" t="s">
        <v>20</v>
      </c>
      <c r="D12" t="s">
        <v>348</v>
      </c>
      <c r="E12" t="s">
        <v>65</v>
      </c>
    </row>
    <row r="13" spans="1:5" ht="34.5" thickBot="1" x14ac:dyDescent="0.3">
      <c r="A13" s="8" t="s">
        <v>28</v>
      </c>
      <c r="B13" s="9" t="s">
        <v>29</v>
      </c>
      <c r="C13" s="9" t="s">
        <v>30</v>
      </c>
    </row>
    <row r="14" spans="1:5" ht="34.5" thickBot="1" x14ac:dyDescent="0.3">
      <c r="A14" s="8" t="s">
        <v>31</v>
      </c>
      <c r="B14" s="9" t="s">
        <v>32</v>
      </c>
      <c r="C14" s="9" t="s">
        <v>30</v>
      </c>
    </row>
    <row r="15" spans="1:5" ht="23.25" thickBot="1" x14ac:dyDescent="0.3">
      <c r="A15" s="8" t="s">
        <v>33</v>
      </c>
      <c r="B15" s="9" t="s">
        <v>19</v>
      </c>
      <c r="C15" s="9" t="s">
        <v>20</v>
      </c>
    </row>
    <row r="16" spans="1:5" ht="23.25" thickBot="1" x14ac:dyDescent="0.3">
      <c r="A16" s="8" t="s">
        <v>34</v>
      </c>
      <c r="B16" s="9" t="s">
        <v>29</v>
      </c>
      <c r="C16" s="9" t="s">
        <v>35</v>
      </c>
    </row>
    <row r="17" spans="1:5" ht="23.25" thickBot="1" x14ac:dyDescent="0.3">
      <c r="A17" s="8" t="s">
        <v>36</v>
      </c>
      <c r="B17" s="9" t="s">
        <v>29</v>
      </c>
      <c r="C17" s="9" t="s">
        <v>30</v>
      </c>
    </row>
    <row r="18" spans="1:5" ht="23.25" thickBot="1" x14ac:dyDescent="0.3">
      <c r="A18" s="6" t="s">
        <v>37</v>
      </c>
      <c r="B18" s="159"/>
      <c r="C18" s="160"/>
    </row>
    <row r="19" spans="1:5" ht="45.75" thickBot="1" x14ac:dyDescent="0.3">
      <c r="A19" s="8" t="s">
        <v>38</v>
      </c>
      <c r="B19" s="9" t="s">
        <v>19</v>
      </c>
      <c r="C19" s="9" t="s">
        <v>20</v>
      </c>
    </row>
    <row r="20" spans="1:5" ht="23.25" thickBot="1" x14ac:dyDescent="0.3">
      <c r="A20" s="8" t="s">
        <v>39</v>
      </c>
      <c r="B20" s="9" t="s">
        <v>19</v>
      </c>
      <c r="C20" s="9" t="s">
        <v>20</v>
      </c>
    </row>
    <row r="21" spans="1:5" ht="23.25" thickBot="1" x14ac:dyDescent="0.3">
      <c r="A21" s="8" t="s">
        <v>40</v>
      </c>
      <c r="B21" s="9" t="s">
        <v>19</v>
      </c>
      <c r="C21" s="9" t="s">
        <v>20</v>
      </c>
    </row>
    <row r="22" spans="1:5" ht="23.25" thickBot="1" x14ac:dyDescent="0.3">
      <c r="A22" s="8" t="s">
        <v>41</v>
      </c>
      <c r="B22" s="9" t="s">
        <v>32</v>
      </c>
      <c r="C22" s="9" t="s">
        <v>30</v>
      </c>
    </row>
    <row r="23" spans="1:5" ht="23.25" thickBot="1" x14ac:dyDescent="0.3">
      <c r="A23" s="8" t="s">
        <v>42</v>
      </c>
      <c r="B23" s="9" t="s">
        <v>19</v>
      </c>
      <c r="C23" s="9" t="s">
        <v>20</v>
      </c>
    </row>
    <row r="24" spans="1:5" ht="23.25" thickBot="1" x14ac:dyDescent="0.3">
      <c r="A24" s="8" t="s">
        <v>43</v>
      </c>
      <c r="B24" s="9" t="s">
        <v>32</v>
      </c>
      <c r="C24" s="9" t="s">
        <v>30</v>
      </c>
    </row>
    <row r="25" spans="1:5" ht="45.75" thickBot="1" x14ac:dyDescent="0.3">
      <c r="A25" s="6" t="s">
        <v>44</v>
      </c>
      <c r="B25" s="159"/>
      <c r="C25" s="160"/>
    </row>
    <row r="26" spans="1:5" ht="23.25" thickBot="1" x14ac:dyDescent="0.3">
      <c r="A26" s="8" t="s">
        <v>45</v>
      </c>
      <c r="B26" s="9" t="s">
        <v>46</v>
      </c>
      <c r="C26" s="9" t="s">
        <v>47</v>
      </c>
      <c r="E26">
        <v>36</v>
      </c>
    </row>
    <row r="27" spans="1:5" ht="34.5" thickBot="1" x14ac:dyDescent="0.3">
      <c r="A27" s="8" t="s">
        <v>48</v>
      </c>
      <c r="B27" s="9" t="s">
        <v>21</v>
      </c>
      <c r="C27" s="9" t="s">
        <v>22</v>
      </c>
    </row>
    <row r="28" spans="1:5" ht="23.25" thickBot="1" x14ac:dyDescent="0.3">
      <c r="A28" s="6" t="s">
        <v>49</v>
      </c>
      <c r="B28" s="159"/>
      <c r="C28" s="160"/>
    </row>
    <row r="29" spans="1:5" ht="23.25" thickBot="1" x14ac:dyDescent="0.3">
      <c r="A29" s="8" t="s">
        <v>50</v>
      </c>
      <c r="B29" s="9" t="s">
        <v>46</v>
      </c>
      <c r="C29" s="9" t="s">
        <v>51</v>
      </c>
    </row>
    <row r="30" spans="1:5" ht="23.25" thickBot="1" x14ac:dyDescent="0.3">
      <c r="A30" s="8" t="s">
        <v>52</v>
      </c>
      <c r="B30" s="9" t="s">
        <v>21</v>
      </c>
      <c r="C30" s="9" t="s">
        <v>53</v>
      </c>
    </row>
    <row r="31" spans="1:5" ht="15.75" thickBot="1" x14ac:dyDescent="0.3">
      <c r="A31" s="8" t="s">
        <v>54</v>
      </c>
      <c r="B31" s="9" t="s">
        <v>19</v>
      </c>
      <c r="C31" s="9" t="s">
        <v>35</v>
      </c>
    </row>
    <row r="32" spans="1:5" ht="23.25" thickBot="1" x14ac:dyDescent="0.3">
      <c r="A32" s="8" t="s">
        <v>55</v>
      </c>
      <c r="B32" s="9" t="s">
        <v>19</v>
      </c>
      <c r="C32" s="9" t="s">
        <v>20</v>
      </c>
    </row>
    <row r="33" spans="1:3" ht="23.25" thickBot="1" x14ac:dyDescent="0.3">
      <c r="A33" s="6" t="s">
        <v>56</v>
      </c>
      <c r="B33" s="159"/>
      <c r="C33" s="160"/>
    </row>
    <row r="34" spans="1:3" ht="23.25" thickBot="1" x14ac:dyDescent="0.3">
      <c r="A34" s="8" t="s">
        <v>57</v>
      </c>
      <c r="B34" s="9" t="s">
        <v>19</v>
      </c>
      <c r="C34" s="9" t="s">
        <v>53</v>
      </c>
    </row>
    <row r="35" spans="1:3" ht="23.25" thickBot="1" x14ac:dyDescent="0.3">
      <c r="A35" s="8" t="s">
        <v>58</v>
      </c>
      <c r="B35" s="9" t="s">
        <v>29</v>
      </c>
      <c r="C35" s="9" t="s">
        <v>30</v>
      </c>
    </row>
  </sheetData>
  <mergeCells count="8">
    <mergeCell ref="B28:C28"/>
    <mergeCell ref="B33:C33"/>
    <mergeCell ref="A3:C3"/>
    <mergeCell ref="B5:C5"/>
    <mergeCell ref="B8:C8"/>
    <mergeCell ref="B11:C11"/>
    <mergeCell ref="B18:C18"/>
    <mergeCell ref="B25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930B-4552-417E-B352-F66EC3955187}">
  <sheetPr>
    <pageSetUpPr fitToPage="1"/>
  </sheetPr>
  <dimension ref="A1:P174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26.7109375" style="1" customWidth="1"/>
    <col min="2" max="2" width="36.85546875" bestFit="1" customWidth="1"/>
    <col min="3" max="3" width="17.85546875" customWidth="1"/>
    <col min="4" max="4" width="13.140625" style="42" customWidth="1"/>
    <col min="5" max="5" width="32.85546875" bestFit="1" customWidth="1"/>
    <col min="6" max="6" width="15.5703125" bestFit="1" customWidth="1"/>
    <col min="7" max="7" width="11.5703125" bestFit="1" customWidth="1"/>
    <col min="8" max="8" width="22.42578125" style="42" bestFit="1" customWidth="1"/>
    <col min="9" max="9" width="12" bestFit="1" customWidth="1"/>
    <col min="10" max="10" width="9.85546875" style="1" bestFit="1" customWidth="1"/>
    <col min="11" max="11" width="18.5703125" style="14" bestFit="1" customWidth="1"/>
    <col min="14" max="14" width="9.140625" customWidth="1"/>
    <col min="15" max="15" width="8.85546875" customWidth="1"/>
    <col min="16" max="16" width="8.7109375" customWidth="1"/>
  </cols>
  <sheetData>
    <row r="1" spans="1:16" ht="15.75" thickBot="1" x14ac:dyDescent="0.3">
      <c r="A1" s="11"/>
      <c r="B1" s="36" t="s">
        <v>8</v>
      </c>
      <c r="C1" s="37" t="s">
        <v>63</v>
      </c>
      <c r="D1" s="39" t="s">
        <v>64</v>
      </c>
      <c r="E1" s="38" t="s">
        <v>66</v>
      </c>
      <c r="F1" s="59" t="s">
        <v>122</v>
      </c>
      <c r="G1" s="60" t="s">
        <v>123</v>
      </c>
      <c r="H1" s="61" t="s">
        <v>121</v>
      </c>
      <c r="I1" s="10"/>
      <c r="J1" s="62" t="s">
        <v>124</v>
      </c>
      <c r="K1" s="56" t="s">
        <v>3</v>
      </c>
      <c r="L1" s="17">
        <v>100</v>
      </c>
    </row>
    <row r="2" spans="1:16" ht="15.75" thickBot="1" x14ac:dyDescent="0.3">
      <c r="A2" s="26"/>
      <c r="B2" s="34"/>
      <c r="C2" s="27"/>
      <c r="D2" s="40"/>
      <c r="E2" s="28"/>
      <c r="F2" s="29"/>
      <c r="G2" s="27"/>
      <c r="H2" s="44"/>
      <c r="I2" s="48"/>
      <c r="J2" s="48"/>
      <c r="K2" s="57" t="s">
        <v>88</v>
      </c>
      <c r="L2" s="18">
        <v>134.22999999999999</v>
      </c>
      <c r="P2" s="1"/>
    </row>
    <row r="3" spans="1:16" x14ac:dyDescent="0.25">
      <c r="A3" s="26"/>
      <c r="B3" s="34" t="s">
        <v>102</v>
      </c>
      <c r="C3" s="27"/>
      <c r="D3" s="40"/>
      <c r="E3" s="28"/>
      <c r="F3" s="29"/>
      <c r="G3" s="27"/>
      <c r="H3" s="44"/>
      <c r="I3" s="48"/>
      <c r="J3" s="48"/>
      <c r="K3" s="19" t="s">
        <v>138</v>
      </c>
      <c r="L3" s="25"/>
    </row>
    <row r="4" spans="1:16" x14ac:dyDescent="0.25">
      <c r="A4" s="26" t="s">
        <v>113</v>
      </c>
      <c r="B4" s="27" t="s">
        <v>85</v>
      </c>
      <c r="C4" s="27" t="s">
        <v>78</v>
      </c>
      <c r="D4" s="40">
        <v>200</v>
      </c>
      <c r="E4" s="28" t="s">
        <v>101</v>
      </c>
      <c r="F4" s="45">
        <v>150</v>
      </c>
      <c r="G4" s="43">
        <v>330</v>
      </c>
      <c r="H4" s="44">
        <f>G4/F4</f>
        <v>2.2000000000000002</v>
      </c>
      <c r="I4" s="50">
        <f>L1*H4</f>
        <v>220.00000000000003</v>
      </c>
      <c r="J4" s="50">
        <f>I4*2</f>
        <v>440.00000000000006</v>
      </c>
      <c r="K4" s="69" t="s">
        <v>139</v>
      </c>
      <c r="L4" s="28"/>
    </row>
    <row r="5" spans="1:16" ht="15.75" thickBot="1" x14ac:dyDescent="0.3">
      <c r="A5" s="26"/>
      <c r="B5" s="27" t="s">
        <v>84</v>
      </c>
      <c r="C5" s="27" t="s">
        <v>79</v>
      </c>
      <c r="D5" s="40">
        <v>130</v>
      </c>
      <c r="E5" s="28" t="s">
        <v>101</v>
      </c>
      <c r="F5" s="29"/>
      <c r="G5" s="27"/>
      <c r="H5" s="44"/>
      <c r="I5" s="50"/>
      <c r="J5" s="48"/>
      <c r="K5" s="12" t="s">
        <v>140</v>
      </c>
      <c r="L5" s="32"/>
    </row>
    <row r="6" spans="1:16" x14ac:dyDescent="0.25">
      <c r="A6" s="26"/>
      <c r="B6" s="27"/>
      <c r="C6" s="27"/>
      <c r="D6" s="40"/>
      <c r="E6" s="28"/>
      <c r="F6" s="29"/>
      <c r="G6" s="27"/>
      <c r="H6" s="44"/>
      <c r="I6" s="48"/>
      <c r="J6" s="48"/>
      <c r="K6"/>
    </row>
    <row r="7" spans="1:16" x14ac:dyDescent="0.25">
      <c r="A7" s="26" t="s">
        <v>114</v>
      </c>
      <c r="B7" s="27" t="s">
        <v>59</v>
      </c>
      <c r="C7" s="27" t="s">
        <v>61</v>
      </c>
      <c r="D7" s="40">
        <v>65</v>
      </c>
      <c r="E7" s="28" t="s">
        <v>107</v>
      </c>
      <c r="F7" s="45">
        <v>32</v>
      </c>
      <c r="G7" s="43">
        <v>125</v>
      </c>
      <c r="H7" s="44">
        <f>G7/F7</f>
        <v>3.90625</v>
      </c>
      <c r="I7" s="50">
        <f>H7*L1</f>
        <v>390.625</v>
      </c>
      <c r="J7" s="50">
        <f>I7*2</f>
        <v>781.25</v>
      </c>
      <c r="K7"/>
    </row>
    <row r="8" spans="1:16" x14ac:dyDescent="0.25">
      <c r="A8" s="26"/>
      <c r="B8" s="27" t="s">
        <v>60</v>
      </c>
      <c r="C8" s="27" t="s">
        <v>62</v>
      </c>
      <c r="D8" s="40">
        <v>40</v>
      </c>
      <c r="E8" s="28" t="s">
        <v>107</v>
      </c>
      <c r="F8" s="29"/>
      <c r="G8" s="27"/>
      <c r="H8" s="44"/>
      <c r="I8" s="48"/>
      <c r="J8" s="48"/>
      <c r="K8"/>
    </row>
    <row r="9" spans="1:16" x14ac:dyDescent="0.25">
      <c r="A9" s="26"/>
      <c r="B9" s="27" t="s">
        <v>67</v>
      </c>
      <c r="C9" s="27" t="s">
        <v>108</v>
      </c>
      <c r="D9" s="40">
        <v>10</v>
      </c>
      <c r="E9" s="28" t="s">
        <v>109</v>
      </c>
      <c r="F9" s="29"/>
      <c r="G9" s="27"/>
      <c r="H9" s="44"/>
      <c r="I9" s="48"/>
      <c r="J9" s="48"/>
      <c r="K9"/>
    </row>
    <row r="10" spans="1:16" x14ac:dyDescent="0.25">
      <c r="A10" s="26"/>
      <c r="B10" s="27"/>
      <c r="C10" s="27"/>
      <c r="D10" s="40"/>
      <c r="E10" s="28"/>
      <c r="F10" s="29"/>
      <c r="G10" s="27"/>
      <c r="H10" s="44"/>
      <c r="I10" s="48"/>
      <c r="J10" s="48"/>
      <c r="K10"/>
    </row>
    <row r="11" spans="1:16" ht="15.75" thickBot="1" x14ac:dyDescent="0.3">
      <c r="A11" s="26"/>
      <c r="B11" s="27"/>
      <c r="C11" s="27"/>
      <c r="D11" s="40"/>
      <c r="E11" s="28"/>
      <c r="F11" s="29"/>
      <c r="G11" s="27"/>
      <c r="H11" s="44"/>
      <c r="I11" s="48"/>
      <c r="J11" s="49"/>
      <c r="K11"/>
    </row>
    <row r="12" spans="1:16" x14ac:dyDescent="0.25">
      <c r="A12" s="11"/>
      <c r="B12" s="33" t="s">
        <v>198</v>
      </c>
      <c r="C12" s="24"/>
      <c r="D12" s="51"/>
      <c r="E12" s="24"/>
      <c r="F12" s="23"/>
      <c r="G12" s="24"/>
      <c r="H12" s="52"/>
      <c r="I12" s="17"/>
      <c r="J12" s="47"/>
      <c r="K12"/>
    </row>
    <row r="13" spans="1:16" x14ac:dyDescent="0.25">
      <c r="A13" s="26" t="s">
        <v>116</v>
      </c>
      <c r="B13" s="27" t="s">
        <v>106</v>
      </c>
      <c r="C13" s="27" t="s">
        <v>86</v>
      </c>
      <c r="D13" s="40">
        <v>999</v>
      </c>
      <c r="E13" s="27" t="s">
        <v>110</v>
      </c>
      <c r="F13" s="29">
        <v>150</v>
      </c>
      <c r="G13" s="27">
        <v>1299</v>
      </c>
      <c r="H13" s="44">
        <f>G13/F13</f>
        <v>8.66</v>
      </c>
      <c r="I13" s="53">
        <f>H13*L2</f>
        <v>1162.4317999999998</v>
      </c>
      <c r="J13" s="48"/>
      <c r="K13"/>
    </row>
    <row r="14" spans="1:16" x14ac:dyDescent="0.25">
      <c r="A14" s="26" t="s">
        <v>115</v>
      </c>
      <c r="B14" s="27" t="s">
        <v>81</v>
      </c>
      <c r="C14" s="27" t="s">
        <v>112</v>
      </c>
      <c r="D14" s="40">
        <v>9</v>
      </c>
      <c r="E14" s="27" t="s">
        <v>111</v>
      </c>
      <c r="F14" s="29"/>
      <c r="G14" s="27"/>
      <c r="H14" s="44"/>
      <c r="I14" s="53"/>
      <c r="J14" s="48"/>
      <c r="K14"/>
    </row>
    <row r="15" spans="1:16" x14ac:dyDescent="0.25">
      <c r="A15" s="26"/>
      <c r="B15" s="27" t="s">
        <v>82</v>
      </c>
      <c r="C15" s="27" t="s">
        <v>112</v>
      </c>
      <c r="D15" s="40">
        <v>9</v>
      </c>
      <c r="E15" s="27" t="s">
        <v>111</v>
      </c>
      <c r="F15" s="29"/>
      <c r="G15" s="27"/>
      <c r="H15" s="44"/>
      <c r="I15" s="54"/>
      <c r="J15" s="48"/>
      <c r="K15"/>
    </row>
    <row r="16" spans="1:16" x14ac:dyDescent="0.25">
      <c r="A16" s="26"/>
      <c r="B16" s="27" t="s">
        <v>83</v>
      </c>
      <c r="C16" s="27" t="s">
        <v>87</v>
      </c>
      <c r="D16" s="40">
        <v>13.85</v>
      </c>
      <c r="E16" s="27"/>
      <c r="F16" s="29"/>
      <c r="G16" s="27"/>
      <c r="H16" s="44">
        <v>3.85</v>
      </c>
      <c r="I16" s="53">
        <f>H16*L2</f>
        <v>516.78549999999996</v>
      </c>
      <c r="J16" s="48"/>
      <c r="K16"/>
    </row>
    <row r="17" spans="1:11" x14ac:dyDescent="0.25">
      <c r="A17" s="26"/>
      <c r="B17" s="27"/>
      <c r="C17" s="27"/>
      <c r="D17" s="40"/>
      <c r="E17" s="27"/>
      <c r="F17" s="29"/>
      <c r="G17" s="27"/>
      <c r="H17" s="44"/>
      <c r="I17" s="53"/>
      <c r="J17" s="48"/>
      <c r="K17"/>
    </row>
    <row r="18" spans="1:11" x14ac:dyDescent="0.25">
      <c r="A18" s="26"/>
      <c r="B18" s="27"/>
      <c r="C18" s="27"/>
      <c r="D18" s="40"/>
      <c r="E18" s="27"/>
      <c r="F18" s="29"/>
      <c r="G18" s="27"/>
      <c r="H18" s="44" t="s">
        <v>125</v>
      </c>
      <c r="I18" s="55"/>
      <c r="J18" s="58"/>
      <c r="K18" s="42"/>
    </row>
    <row r="19" spans="1:11" ht="15.75" thickBot="1" x14ac:dyDescent="0.3">
      <c r="A19" s="12"/>
      <c r="B19" s="31"/>
      <c r="C19" s="31"/>
      <c r="D19" s="41"/>
      <c r="E19" s="31"/>
      <c r="F19" s="30"/>
      <c r="G19" s="31"/>
      <c r="H19" s="46"/>
      <c r="I19" s="18"/>
      <c r="J19" s="49"/>
      <c r="K19"/>
    </row>
    <row r="20" spans="1:11" x14ac:dyDescent="0.25">
      <c r="A20" s="11"/>
      <c r="B20" s="33" t="s">
        <v>219</v>
      </c>
      <c r="C20" s="24"/>
      <c r="D20" s="51"/>
      <c r="E20" s="24"/>
      <c r="F20" s="23"/>
      <c r="G20" s="24"/>
      <c r="H20" s="52"/>
      <c r="I20" s="17"/>
      <c r="J20" s="47"/>
      <c r="K20"/>
    </row>
    <row r="21" spans="1:11" x14ac:dyDescent="0.25">
      <c r="A21" s="26"/>
      <c r="B21" s="27"/>
      <c r="C21" s="27"/>
      <c r="D21" s="40"/>
      <c r="E21" s="27"/>
      <c r="F21" s="29"/>
      <c r="G21" s="27"/>
      <c r="H21" s="44"/>
      <c r="I21" s="54"/>
      <c r="J21" s="48"/>
      <c r="K21"/>
    </row>
    <row r="22" spans="1:11" x14ac:dyDescent="0.25">
      <c r="A22" s="26"/>
      <c r="B22" s="27"/>
      <c r="C22" s="27"/>
      <c r="D22" s="40"/>
      <c r="E22" s="27"/>
      <c r="F22" s="29"/>
      <c r="G22" s="27"/>
      <c r="H22" s="44"/>
      <c r="I22" s="54"/>
      <c r="J22" s="48"/>
      <c r="K22"/>
    </row>
    <row r="23" spans="1:11" x14ac:dyDescent="0.25">
      <c r="A23" s="26"/>
      <c r="B23" s="27"/>
      <c r="C23" s="27"/>
      <c r="D23" s="40"/>
      <c r="E23" s="27"/>
      <c r="F23" s="29"/>
      <c r="G23" s="27"/>
      <c r="H23" s="44"/>
      <c r="I23" s="54"/>
      <c r="J23" s="48"/>
      <c r="K23"/>
    </row>
    <row r="24" spans="1:11" x14ac:dyDescent="0.25">
      <c r="A24" s="26"/>
      <c r="B24" s="27"/>
      <c r="C24" s="27"/>
      <c r="D24" s="40"/>
      <c r="E24" s="27"/>
      <c r="F24" s="29"/>
      <c r="G24" s="27"/>
      <c r="H24" s="44"/>
      <c r="I24" s="54"/>
      <c r="J24" s="48"/>
      <c r="K24"/>
    </row>
    <row r="25" spans="1:11" x14ac:dyDescent="0.25">
      <c r="A25" s="26"/>
      <c r="B25" s="27"/>
      <c r="C25" s="27"/>
      <c r="D25" s="40"/>
      <c r="E25" s="27"/>
      <c r="F25" s="29"/>
      <c r="G25" s="27"/>
      <c r="H25" s="44"/>
      <c r="I25" s="54"/>
      <c r="J25" s="48"/>
      <c r="K25"/>
    </row>
    <row r="26" spans="1:11" x14ac:dyDescent="0.25">
      <c r="A26" s="26"/>
      <c r="B26" s="27"/>
      <c r="C26" s="27"/>
      <c r="D26" s="40"/>
      <c r="E26" s="27"/>
      <c r="F26" s="29"/>
      <c r="G26" s="27"/>
      <c r="H26" s="44"/>
      <c r="I26" s="54"/>
      <c r="J26" s="48"/>
      <c r="K26"/>
    </row>
    <row r="27" spans="1:11" x14ac:dyDescent="0.25">
      <c r="A27" s="26"/>
      <c r="B27" s="27"/>
      <c r="C27" s="27"/>
      <c r="D27" s="40"/>
      <c r="E27" s="27"/>
      <c r="F27" s="29"/>
      <c r="G27" s="27"/>
      <c r="H27" s="44"/>
      <c r="I27" s="54"/>
      <c r="J27" s="48"/>
      <c r="K27"/>
    </row>
    <row r="28" spans="1:11" ht="15.75" thickBot="1" x14ac:dyDescent="0.3">
      <c r="A28" s="12"/>
      <c r="B28" s="31"/>
      <c r="C28" s="31"/>
      <c r="D28" s="41"/>
      <c r="E28" s="31"/>
      <c r="F28" s="30"/>
      <c r="G28" s="31"/>
      <c r="H28" s="46"/>
      <c r="I28" s="18"/>
      <c r="J28" s="49"/>
      <c r="K28"/>
    </row>
    <row r="29" spans="1:11" x14ac:dyDescent="0.25">
      <c r="A29" s="26"/>
      <c r="B29" s="34" t="s">
        <v>105</v>
      </c>
      <c r="C29" s="27"/>
      <c r="D29" s="40"/>
      <c r="E29" s="27"/>
      <c r="F29" s="29"/>
      <c r="G29" s="27"/>
      <c r="H29" s="44"/>
      <c r="I29" s="54"/>
      <c r="J29" s="48"/>
    </row>
    <row r="30" spans="1:11" x14ac:dyDescent="0.25">
      <c r="A30" s="26" t="s">
        <v>114</v>
      </c>
      <c r="B30" s="35" t="s">
        <v>103</v>
      </c>
      <c r="C30" s="27" t="s">
        <v>99</v>
      </c>
      <c r="D30" s="40">
        <v>104.8</v>
      </c>
      <c r="E30" s="27" t="s">
        <v>101</v>
      </c>
      <c r="F30" s="45">
        <v>80</v>
      </c>
      <c r="G30" s="43">
        <v>375.1</v>
      </c>
      <c r="H30" s="44">
        <f>G30/F30</f>
        <v>4.6887500000000006</v>
      </c>
      <c r="I30" s="53">
        <f>H30*L1</f>
        <v>468.87500000000006</v>
      </c>
      <c r="J30" s="50">
        <f>I30*2</f>
        <v>937.75000000000011</v>
      </c>
    </row>
    <row r="31" spans="1:11" x14ac:dyDescent="0.25">
      <c r="A31" s="26"/>
      <c r="B31" s="35" t="s">
        <v>104</v>
      </c>
      <c r="C31" s="27" t="s">
        <v>98</v>
      </c>
      <c r="D31" s="40">
        <v>175.1</v>
      </c>
      <c r="E31" s="27" t="s">
        <v>101</v>
      </c>
      <c r="F31" s="29"/>
      <c r="G31" s="27"/>
      <c r="H31" s="44"/>
      <c r="I31" s="54"/>
      <c r="J31" s="48"/>
    </row>
    <row r="32" spans="1:11" ht="15.75" thickBot="1" x14ac:dyDescent="0.3">
      <c r="A32" s="26"/>
      <c r="B32" s="27" t="s">
        <v>100</v>
      </c>
      <c r="C32" s="27" t="s">
        <v>97</v>
      </c>
      <c r="D32" s="40">
        <v>96</v>
      </c>
      <c r="E32" s="27"/>
      <c r="F32" s="29"/>
      <c r="G32" s="27"/>
      <c r="H32" s="44"/>
      <c r="I32" s="54"/>
      <c r="J32" s="48"/>
    </row>
    <row r="33" spans="1:10" ht="15.75" thickBot="1" x14ac:dyDescent="0.3">
      <c r="A33" s="11" t="s">
        <v>118</v>
      </c>
      <c r="B33" s="24"/>
      <c r="C33" s="24"/>
      <c r="D33" s="51" t="s">
        <v>117</v>
      </c>
      <c r="E33" s="24"/>
      <c r="F33" s="24"/>
      <c r="G33" s="24"/>
      <c r="H33" s="51" t="s">
        <v>173</v>
      </c>
      <c r="I33" s="23"/>
      <c r="J33" s="47"/>
    </row>
    <row r="34" spans="1:10" x14ac:dyDescent="0.25">
      <c r="A34" s="26"/>
      <c r="B34" s="23" t="s">
        <v>132</v>
      </c>
      <c r="C34" s="24" t="s">
        <v>136</v>
      </c>
      <c r="D34" s="52">
        <v>71.709999999999994</v>
      </c>
      <c r="E34" s="27"/>
      <c r="F34" s="27">
        <v>6.7</v>
      </c>
      <c r="G34" s="27">
        <v>93.38</v>
      </c>
      <c r="H34" s="40">
        <f>G34/F34</f>
        <v>13.93731343283582</v>
      </c>
      <c r="I34" s="81"/>
      <c r="J34" s="48"/>
    </row>
    <row r="35" spans="1:10" x14ac:dyDescent="0.25">
      <c r="A35" s="26"/>
      <c r="B35" s="29" t="s">
        <v>133</v>
      </c>
      <c r="C35" s="27" t="s">
        <v>137</v>
      </c>
      <c r="D35" s="44">
        <v>21.67</v>
      </c>
      <c r="E35" s="27"/>
      <c r="F35" s="27"/>
      <c r="G35" s="27"/>
      <c r="H35" s="40"/>
      <c r="I35" s="29"/>
      <c r="J35" s="48"/>
    </row>
    <row r="36" spans="1:10" x14ac:dyDescent="0.25">
      <c r="A36" s="26"/>
      <c r="B36" s="29" t="s">
        <v>128</v>
      </c>
      <c r="C36" s="27" t="s">
        <v>136</v>
      </c>
      <c r="D36" s="44">
        <v>174.85</v>
      </c>
      <c r="E36" s="27"/>
      <c r="F36" s="27">
        <v>9</v>
      </c>
      <c r="G36" s="27">
        <v>207.53</v>
      </c>
      <c r="H36" s="40">
        <f t="shared" ref="H36:H44" si="0">G36/F36</f>
        <v>23.058888888888887</v>
      </c>
      <c r="I36" s="81">
        <f>SUM(H34,H36)</f>
        <v>36.996202321724709</v>
      </c>
      <c r="J36" s="48"/>
    </row>
    <row r="37" spans="1:10" ht="15.75" thickBot="1" x14ac:dyDescent="0.3">
      <c r="A37" s="26"/>
      <c r="B37" s="30" t="s">
        <v>129</v>
      </c>
      <c r="C37" s="31" t="s">
        <v>137</v>
      </c>
      <c r="D37" s="46">
        <v>32.68</v>
      </c>
      <c r="E37" s="27"/>
      <c r="F37" s="27"/>
      <c r="G37" s="27"/>
      <c r="H37" s="40"/>
      <c r="I37" s="29"/>
      <c r="J37" s="48"/>
    </row>
    <row r="38" spans="1:10" x14ac:dyDescent="0.25">
      <c r="A38" s="26"/>
      <c r="B38" s="23" t="s">
        <v>134</v>
      </c>
      <c r="C38" s="24" t="s">
        <v>136</v>
      </c>
      <c r="D38" s="52">
        <v>97.11</v>
      </c>
      <c r="E38" s="27"/>
      <c r="F38" s="27">
        <v>6.7</v>
      </c>
      <c r="G38" s="27">
        <v>117.78</v>
      </c>
      <c r="H38" s="40">
        <f t="shared" si="0"/>
        <v>17.579104477611939</v>
      </c>
      <c r="I38" s="81"/>
      <c r="J38" s="48"/>
    </row>
    <row r="39" spans="1:10" x14ac:dyDescent="0.25">
      <c r="A39" s="26"/>
      <c r="B39" s="29" t="s">
        <v>135</v>
      </c>
      <c r="C39" s="43" t="s">
        <v>137</v>
      </c>
      <c r="D39" s="44">
        <v>21.67</v>
      </c>
      <c r="E39" s="27"/>
      <c r="F39" s="27"/>
      <c r="G39" s="27"/>
      <c r="H39" s="40"/>
      <c r="I39" s="29"/>
      <c r="J39" s="48"/>
    </row>
    <row r="40" spans="1:10" x14ac:dyDescent="0.25">
      <c r="A40" s="26"/>
      <c r="B40" s="29" t="s">
        <v>130</v>
      </c>
      <c r="C40" s="43" t="s">
        <v>136</v>
      </c>
      <c r="D40" s="44">
        <v>135.99</v>
      </c>
      <c r="E40" s="27"/>
      <c r="F40" s="27">
        <v>9</v>
      </c>
      <c r="G40" s="27">
        <v>168.67</v>
      </c>
      <c r="H40" s="40">
        <f t="shared" si="0"/>
        <v>18.74111111111111</v>
      </c>
      <c r="I40" s="81">
        <f>SUM(H38:H40)</f>
        <v>36.320215588723045</v>
      </c>
      <c r="J40" s="48"/>
    </row>
    <row r="41" spans="1:10" ht="15.75" thickBot="1" x14ac:dyDescent="0.3">
      <c r="A41" s="26"/>
      <c r="B41" s="30" t="s">
        <v>131</v>
      </c>
      <c r="C41" s="31" t="s">
        <v>137</v>
      </c>
      <c r="D41" s="46">
        <v>32.68</v>
      </c>
      <c r="E41" s="27"/>
      <c r="F41" s="27"/>
      <c r="G41" s="27"/>
      <c r="H41" s="40"/>
      <c r="I41" s="29"/>
      <c r="J41" s="48"/>
    </row>
    <row r="42" spans="1:10" x14ac:dyDescent="0.25">
      <c r="A42" s="26"/>
      <c r="B42" s="23" t="s">
        <v>169</v>
      </c>
      <c r="C42" s="24" t="s">
        <v>136</v>
      </c>
      <c r="D42" s="52">
        <v>71.709999999999994</v>
      </c>
      <c r="E42" s="27"/>
      <c r="F42" s="27">
        <v>6.7</v>
      </c>
      <c r="G42" s="27">
        <v>93.38</v>
      </c>
      <c r="H42" s="40">
        <f t="shared" si="0"/>
        <v>13.93731343283582</v>
      </c>
      <c r="I42" s="81"/>
      <c r="J42" s="48"/>
    </row>
    <row r="43" spans="1:10" x14ac:dyDescent="0.25">
      <c r="A43" s="26"/>
      <c r="B43" s="29" t="s">
        <v>170</v>
      </c>
      <c r="C43" s="43" t="s">
        <v>137</v>
      </c>
      <c r="D43" s="44">
        <v>21.67</v>
      </c>
      <c r="E43" s="27"/>
      <c r="F43" s="27"/>
      <c r="G43" s="27"/>
      <c r="H43" s="40"/>
      <c r="I43" s="29"/>
      <c r="J43" s="48"/>
    </row>
    <row r="44" spans="1:10" x14ac:dyDescent="0.25">
      <c r="A44" s="26"/>
      <c r="B44" s="29" t="s">
        <v>171</v>
      </c>
      <c r="C44" s="43" t="s">
        <v>136</v>
      </c>
      <c r="D44" s="44">
        <v>118.26</v>
      </c>
      <c r="E44" s="27"/>
      <c r="F44" s="27">
        <v>9</v>
      </c>
      <c r="G44" s="27">
        <v>150.94</v>
      </c>
      <c r="H44" s="40">
        <f t="shared" si="0"/>
        <v>16.771111111111111</v>
      </c>
      <c r="I44" s="81"/>
      <c r="J44" s="48"/>
    </row>
    <row r="45" spans="1:10" ht="15.75" thickBot="1" x14ac:dyDescent="0.3">
      <c r="A45" s="26"/>
      <c r="B45" s="30" t="s">
        <v>172</v>
      </c>
      <c r="C45" s="31" t="s">
        <v>137</v>
      </c>
      <c r="D45" s="46">
        <v>32.68</v>
      </c>
      <c r="E45" s="27"/>
      <c r="F45" s="27"/>
      <c r="G45" s="27"/>
      <c r="H45" s="40"/>
      <c r="I45" s="81"/>
      <c r="J45" s="48"/>
    </row>
    <row r="46" spans="1:10" x14ac:dyDescent="0.25">
      <c r="A46" s="26"/>
      <c r="B46" s="23" t="s">
        <v>174</v>
      </c>
      <c r="C46" s="24" t="s">
        <v>136</v>
      </c>
      <c r="D46" s="52">
        <v>71.709999999999994</v>
      </c>
      <c r="E46" s="27"/>
      <c r="F46" s="27">
        <v>6.7</v>
      </c>
      <c r="G46" s="27">
        <v>93.38</v>
      </c>
      <c r="H46" s="40">
        <f>G46/F46</f>
        <v>13.93731343283582</v>
      </c>
      <c r="I46" s="29"/>
      <c r="J46" s="48"/>
    </row>
    <row r="47" spans="1:10" x14ac:dyDescent="0.25">
      <c r="A47" s="26"/>
      <c r="B47" s="29" t="s">
        <v>175</v>
      </c>
      <c r="C47" s="43" t="s">
        <v>137</v>
      </c>
      <c r="D47" s="44">
        <v>21.67</v>
      </c>
      <c r="E47" s="27"/>
      <c r="F47" s="27"/>
      <c r="G47" s="27"/>
      <c r="H47" s="40"/>
      <c r="I47" s="29"/>
      <c r="J47" s="48"/>
    </row>
    <row r="48" spans="1:10" x14ac:dyDescent="0.25">
      <c r="A48" s="26"/>
      <c r="B48" s="29" t="s">
        <v>176</v>
      </c>
      <c r="C48" s="43" t="s">
        <v>136</v>
      </c>
      <c r="D48" s="44">
        <v>120</v>
      </c>
      <c r="E48" s="27"/>
      <c r="F48" s="27">
        <v>9</v>
      </c>
      <c r="G48" s="27">
        <v>152.68</v>
      </c>
      <c r="H48" s="40">
        <f>G48/F48</f>
        <v>16.964444444444446</v>
      </c>
      <c r="I48" s="29"/>
      <c r="J48" s="48"/>
    </row>
    <row r="49" spans="1:10" ht="15.75" thickBot="1" x14ac:dyDescent="0.3">
      <c r="A49" s="26"/>
      <c r="B49" s="30" t="s">
        <v>177</v>
      </c>
      <c r="C49" s="31" t="s">
        <v>137</v>
      </c>
      <c r="D49" s="46">
        <v>32.68</v>
      </c>
      <c r="E49" s="27"/>
      <c r="F49" s="27"/>
      <c r="G49" s="27"/>
      <c r="H49" s="40"/>
      <c r="I49" s="29"/>
      <c r="J49" s="48"/>
    </row>
    <row r="50" spans="1:10" ht="15.75" thickBot="1" x14ac:dyDescent="0.3">
      <c r="A50" s="12"/>
      <c r="B50" s="31"/>
      <c r="C50" s="31"/>
      <c r="D50" s="41"/>
      <c r="E50" s="31"/>
      <c r="F50" s="31"/>
      <c r="G50" s="31"/>
      <c r="H50" s="41"/>
      <c r="I50" s="30"/>
      <c r="J50" s="49"/>
    </row>
    <row r="51" spans="1:10" x14ac:dyDescent="0.25">
      <c r="A51" s="26"/>
      <c r="B51" s="27"/>
      <c r="C51" s="27"/>
      <c r="D51" s="40"/>
      <c r="E51" s="27"/>
      <c r="F51" s="27"/>
      <c r="G51" s="27"/>
      <c r="H51" s="40"/>
      <c r="I51" s="47"/>
      <c r="J51" s="54"/>
    </row>
    <row r="52" spans="1:10" ht="15.75" thickBot="1" x14ac:dyDescent="0.3">
      <c r="A52" s="26" t="s">
        <v>152</v>
      </c>
      <c r="B52" s="27"/>
      <c r="C52" s="27"/>
      <c r="D52" s="40"/>
      <c r="E52" s="27"/>
      <c r="F52" s="27"/>
      <c r="G52" s="27"/>
      <c r="H52" s="40"/>
      <c r="I52" s="48"/>
      <c r="J52" s="54"/>
    </row>
    <row r="53" spans="1:10" x14ac:dyDescent="0.25">
      <c r="A53" s="26"/>
      <c r="B53" s="73" t="s">
        <v>153</v>
      </c>
      <c r="C53" s="74" t="s">
        <v>154</v>
      </c>
      <c r="D53" s="75">
        <v>192</v>
      </c>
      <c r="E53" s="76" t="s">
        <v>101</v>
      </c>
      <c r="F53" s="27">
        <v>68</v>
      </c>
      <c r="G53" s="27">
        <v>229.8</v>
      </c>
      <c r="H53" s="40">
        <f>G53/F53</f>
        <v>3.3794117647058823</v>
      </c>
      <c r="I53" s="50">
        <f>H53*L1</f>
        <v>337.94117647058823</v>
      </c>
      <c r="J53" s="53">
        <f>H54*L1+I53</f>
        <v>577.31617647058829</v>
      </c>
    </row>
    <row r="54" spans="1:10" ht="15.75" thickBot="1" x14ac:dyDescent="0.3">
      <c r="A54" s="26"/>
      <c r="B54" s="77" t="s">
        <v>155</v>
      </c>
      <c r="C54" s="78" t="s">
        <v>156</v>
      </c>
      <c r="D54" s="79">
        <v>37.799999999999997</v>
      </c>
      <c r="E54" s="80"/>
      <c r="F54" s="27">
        <v>96</v>
      </c>
      <c r="G54" s="27"/>
      <c r="H54" s="40">
        <f>G53/F54</f>
        <v>2.3937500000000003</v>
      </c>
      <c r="I54" s="48"/>
      <c r="J54" s="53"/>
    </row>
    <row r="55" spans="1:10" ht="15.75" thickBot="1" x14ac:dyDescent="0.3">
      <c r="A55" s="12"/>
      <c r="B55" s="31"/>
      <c r="C55" s="31"/>
      <c r="D55" s="41"/>
      <c r="E55" s="31"/>
      <c r="F55" s="31"/>
      <c r="G55" s="31"/>
      <c r="H55" s="41"/>
      <c r="I55" s="49"/>
      <c r="J55" s="18"/>
    </row>
    <row r="56" spans="1:10" x14ac:dyDescent="0.25">
      <c r="A56" s="11"/>
      <c r="B56" s="24"/>
      <c r="C56" s="24"/>
      <c r="D56" s="51"/>
      <c r="E56" s="24"/>
      <c r="F56" s="24"/>
      <c r="G56" s="24"/>
      <c r="H56" s="51"/>
      <c r="I56" s="47"/>
      <c r="J56" s="17"/>
    </row>
    <row r="57" spans="1:10" ht="15.75" thickBot="1" x14ac:dyDescent="0.3">
      <c r="A57" s="26" t="s">
        <v>160</v>
      </c>
      <c r="B57" s="27"/>
      <c r="C57" s="27"/>
      <c r="D57" s="40"/>
      <c r="E57" s="27"/>
      <c r="F57" s="27"/>
      <c r="G57" s="27"/>
      <c r="H57" s="40"/>
      <c r="I57" s="48"/>
      <c r="J57" s="54"/>
    </row>
    <row r="58" spans="1:10" x14ac:dyDescent="0.25">
      <c r="A58" s="26"/>
      <c r="B58" s="23" t="s">
        <v>162</v>
      </c>
      <c r="C58" s="24" t="s">
        <v>163</v>
      </c>
      <c r="D58" s="51">
        <v>296.47000000000003</v>
      </c>
      <c r="E58" s="25" t="s">
        <v>161</v>
      </c>
      <c r="F58" s="27">
        <v>77</v>
      </c>
      <c r="G58" s="27">
        <v>378.28</v>
      </c>
      <c r="H58" s="40">
        <f>G58/F58</f>
        <v>4.9127272727272722</v>
      </c>
      <c r="I58" s="50">
        <f>H58*L1</f>
        <v>491.2727272727272</v>
      </c>
      <c r="J58" s="53">
        <f>I58*2</f>
        <v>982.54545454545439</v>
      </c>
    </row>
    <row r="59" spans="1:10" ht="15.75" thickBot="1" x14ac:dyDescent="0.3">
      <c r="A59" s="26"/>
      <c r="B59" s="30" t="s">
        <v>164</v>
      </c>
      <c r="C59" s="31" t="s">
        <v>165</v>
      </c>
      <c r="D59" s="41">
        <v>81.81</v>
      </c>
      <c r="E59" s="32"/>
      <c r="F59" s="27"/>
      <c r="G59" s="27"/>
      <c r="H59" s="40"/>
      <c r="I59" s="48"/>
      <c r="J59" s="54"/>
    </row>
    <row r="60" spans="1:10" ht="15.75" thickBot="1" x14ac:dyDescent="0.3">
      <c r="A60" s="12"/>
      <c r="B60" s="31"/>
      <c r="C60" s="31"/>
      <c r="D60" s="41"/>
      <c r="E60" s="31"/>
      <c r="F60" s="31"/>
      <c r="G60" s="31"/>
      <c r="H60" s="41"/>
      <c r="I60" s="49"/>
      <c r="J60" s="18"/>
    </row>
    <row r="61" spans="1:10" ht="15.75" thickBot="1" x14ac:dyDescent="0.3">
      <c r="A61" s="11" t="s">
        <v>183</v>
      </c>
      <c r="B61" s="33" t="s">
        <v>191</v>
      </c>
      <c r="C61" s="24"/>
      <c r="D61" s="51"/>
      <c r="E61" s="24"/>
      <c r="F61" s="24"/>
      <c r="G61" s="24"/>
      <c r="H61" s="51"/>
      <c r="I61" s="47"/>
      <c r="J61" s="17"/>
    </row>
    <row r="62" spans="1:10" x14ac:dyDescent="0.25">
      <c r="A62" s="26"/>
      <c r="B62" s="82" t="s">
        <v>186</v>
      </c>
      <c r="C62" s="24" t="s">
        <v>154</v>
      </c>
      <c r="D62" s="51">
        <v>192</v>
      </c>
      <c r="E62" s="25" t="s">
        <v>190</v>
      </c>
      <c r="F62" s="27">
        <v>68</v>
      </c>
      <c r="G62" s="27">
        <v>229.8</v>
      </c>
      <c r="H62" s="40">
        <f>G62/F62</f>
        <v>3.3794117647058823</v>
      </c>
      <c r="I62" s="50">
        <f>H62*$L$1</f>
        <v>337.94117647058823</v>
      </c>
      <c r="J62" s="54"/>
    </row>
    <row r="63" spans="1:10" x14ac:dyDescent="0.25">
      <c r="A63" s="26"/>
      <c r="B63" s="45" t="s">
        <v>155</v>
      </c>
      <c r="C63" s="43" t="s">
        <v>156</v>
      </c>
      <c r="D63" s="40">
        <v>37.799999999999997</v>
      </c>
      <c r="E63" s="28"/>
      <c r="F63" s="27"/>
      <c r="G63" s="27"/>
      <c r="H63" s="40"/>
      <c r="I63" s="50"/>
      <c r="J63" s="54"/>
    </row>
    <row r="64" spans="1:10" x14ac:dyDescent="0.25">
      <c r="A64" s="26"/>
      <c r="B64" s="45" t="s">
        <v>187</v>
      </c>
      <c r="C64" s="27"/>
      <c r="D64" s="40">
        <v>192</v>
      </c>
      <c r="E64" s="28" t="s">
        <v>188</v>
      </c>
      <c r="F64" s="27">
        <v>96</v>
      </c>
      <c r="G64" s="27">
        <v>229.8</v>
      </c>
      <c r="H64" s="40">
        <f>G64/F64</f>
        <v>2.3937500000000003</v>
      </c>
      <c r="I64" s="50">
        <f>H64*$L$1</f>
        <v>239.37500000000003</v>
      </c>
      <c r="J64" s="54"/>
    </row>
    <row r="65" spans="1:11" x14ac:dyDescent="0.25">
      <c r="A65" s="26"/>
      <c r="B65" s="45" t="s">
        <v>155</v>
      </c>
      <c r="C65" s="27"/>
      <c r="D65" s="40">
        <v>37.799999999999997</v>
      </c>
      <c r="E65" s="28"/>
      <c r="F65" s="27"/>
      <c r="G65" s="27"/>
      <c r="H65" s="40"/>
      <c r="I65" s="50"/>
      <c r="J65" s="54"/>
    </row>
    <row r="66" spans="1:11" x14ac:dyDescent="0.25">
      <c r="A66" s="26"/>
      <c r="B66" s="45" t="s">
        <v>192</v>
      </c>
      <c r="C66" s="27" t="s">
        <v>193</v>
      </c>
      <c r="D66" s="40">
        <v>405</v>
      </c>
      <c r="E66" s="28" t="s">
        <v>427</v>
      </c>
      <c r="F66" s="27">
        <v>50</v>
      </c>
      <c r="G66" s="27">
        <v>405</v>
      </c>
      <c r="H66" s="40">
        <f>G66/F66</f>
        <v>8.1</v>
      </c>
      <c r="I66" s="50">
        <f>H66*$L$1</f>
        <v>810</v>
      </c>
      <c r="J66" s="54"/>
    </row>
    <row r="67" spans="1:11" x14ac:dyDescent="0.25">
      <c r="A67" s="26"/>
      <c r="B67" s="45" t="s">
        <v>189</v>
      </c>
      <c r="C67" s="27" t="s">
        <v>195</v>
      </c>
      <c r="D67" s="40">
        <v>1770</v>
      </c>
      <c r="E67" s="28" t="s">
        <v>194</v>
      </c>
      <c r="F67" s="27">
        <v>330</v>
      </c>
      <c r="G67" s="43">
        <v>1770</v>
      </c>
      <c r="H67" s="40">
        <f>G67/F67</f>
        <v>5.3636363636363633</v>
      </c>
      <c r="I67" s="50">
        <f>H67*$L$1</f>
        <v>536.36363636363637</v>
      </c>
      <c r="J67" s="54"/>
    </row>
    <row r="68" spans="1:11" x14ac:dyDescent="0.25">
      <c r="A68" s="26"/>
      <c r="B68" s="123" t="s">
        <v>344</v>
      </c>
      <c r="C68" s="124" t="s">
        <v>306</v>
      </c>
      <c r="D68" s="125">
        <v>105</v>
      </c>
      <c r="E68" s="126" t="s">
        <v>345</v>
      </c>
      <c r="F68" s="124"/>
      <c r="G68" s="124">
        <v>105</v>
      </c>
      <c r="H68" s="125"/>
      <c r="I68" s="127">
        <v>25</v>
      </c>
      <c r="J68" s="128"/>
    </row>
    <row r="69" spans="1:11" ht="15.75" thickBot="1" x14ac:dyDescent="0.3">
      <c r="A69" s="26"/>
      <c r="B69" s="83" t="s">
        <v>189</v>
      </c>
      <c r="C69" s="84" t="s">
        <v>195</v>
      </c>
      <c r="D69" s="41">
        <v>1770</v>
      </c>
      <c r="E69" s="32" t="s">
        <v>184</v>
      </c>
      <c r="F69" s="27">
        <v>330</v>
      </c>
      <c r="G69" s="43">
        <v>1770</v>
      </c>
      <c r="H69" s="40">
        <f>G69/F69</f>
        <v>5.3636363636363633</v>
      </c>
      <c r="I69" s="50">
        <f>H69*$L$1</f>
        <v>536.36363636363637</v>
      </c>
      <c r="J69" s="54"/>
      <c r="K69" s="14">
        <f>SUM(I62:I69)</f>
        <v>2485.0434491978613</v>
      </c>
    </row>
    <row r="70" spans="1:11" ht="15.75" thickBot="1" x14ac:dyDescent="0.3">
      <c r="A70" s="26"/>
      <c r="B70" s="27"/>
      <c r="C70" s="27"/>
      <c r="D70" s="40"/>
      <c r="E70" s="27"/>
      <c r="F70" s="27"/>
      <c r="G70" s="27"/>
      <c r="H70" s="40"/>
      <c r="I70" s="26"/>
      <c r="J70" s="47"/>
    </row>
    <row r="71" spans="1:11" ht="15.75" thickBot="1" x14ac:dyDescent="0.3">
      <c r="A71" s="11" t="s">
        <v>216</v>
      </c>
      <c r="B71" s="87" t="s">
        <v>218</v>
      </c>
      <c r="C71" s="24"/>
      <c r="D71" s="51"/>
      <c r="E71" s="24"/>
      <c r="F71" s="24"/>
      <c r="G71" s="24"/>
      <c r="H71" s="51"/>
      <c r="I71" s="89"/>
      <c r="J71" s="47"/>
    </row>
    <row r="72" spans="1:11" x14ac:dyDescent="0.25">
      <c r="A72" s="26"/>
      <c r="B72" s="82" t="s">
        <v>220</v>
      </c>
      <c r="C72" s="87" t="s">
        <v>222</v>
      </c>
      <c r="D72" s="51">
        <v>39.36</v>
      </c>
      <c r="E72" s="88" t="s">
        <v>234</v>
      </c>
      <c r="F72" s="43">
        <v>1.754</v>
      </c>
      <c r="G72" s="40">
        <f>SUM(D72:D75)</f>
        <v>115.85</v>
      </c>
      <c r="H72" s="40">
        <f>G72/F72</f>
        <v>66.049030786773088</v>
      </c>
      <c r="I72" s="50">
        <f>H72*L1</f>
        <v>6604.9030786773092</v>
      </c>
      <c r="J72" s="48"/>
    </row>
    <row r="73" spans="1:11" x14ac:dyDescent="0.25">
      <c r="A73" s="26"/>
      <c r="B73" s="45" t="s">
        <v>223</v>
      </c>
      <c r="C73" s="43" t="s">
        <v>224</v>
      </c>
      <c r="D73" s="40">
        <v>40.53</v>
      </c>
      <c r="E73" s="28"/>
      <c r="F73" s="27"/>
      <c r="G73" s="27"/>
      <c r="H73" s="40"/>
      <c r="I73" s="48"/>
      <c r="J73" s="48"/>
    </row>
    <row r="74" spans="1:11" x14ac:dyDescent="0.25">
      <c r="A74" s="26"/>
      <c r="B74" s="45" t="s">
        <v>225</v>
      </c>
      <c r="C74" s="43" t="s">
        <v>221</v>
      </c>
      <c r="D74" s="40">
        <v>20.78</v>
      </c>
      <c r="E74" s="28"/>
      <c r="F74" s="27"/>
      <c r="G74" s="27"/>
      <c r="H74" s="40"/>
      <c r="I74" s="48"/>
      <c r="J74" s="48"/>
    </row>
    <row r="75" spans="1:11" x14ac:dyDescent="0.25">
      <c r="A75" s="26"/>
      <c r="B75" s="45" t="s">
        <v>226</v>
      </c>
      <c r="C75" s="43" t="s">
        <v>227</v>
      </c>
      <c r="D75" s="40">
        <v>15.18</v>
      </c>
      <c r="E75" s="28"/>
      <c r="F75" s="27"/>
      <c r="G75" s="27"/>
      <c r="H75" s="40"/>
      <c r="I75" s="48"/>
      <c r="J75" s="48"/>
    </row>
    <row r="76" spans="1:11" x14ac:dyDescent="0.25">
      <c r="A76" s="26"/>
      <c r="B76" s="29"/>
      <c r="C76" s="27"/>
      <c r="D76" s="40"/>
      <c r="E76" s="28"/>
      <c r="F76" s="27"/>
      <c r="G76" s="27"/>
      <c r="H76" s="40"/>
      <c r="I76" s="48"/>
      <c r="J76" s="48"/>
    </row>
    <row r="77" spans="1:11" x14ac:dyDescent="0.25">
      <c r="A77" s="26"/>
      <c r="B77" s="45" t="s">
        <v>228</v>
      </c>
      <c r="C77" s="43" t="s">
        <v>229</v>
      </c>
      <c r="D77" s="40">
        <v>23.71</v>
      </c>
      <c r="E77" s="28" t="s">
        <v>235</v>
      </c>
      <c r="F77" s="27">
        <v>12.25</v>
      </c>
      <c r="G77" s="40">
        <f>SUM(D77:D80)</f>
        <v>73.759999999999991</v>
      </c>
      <c r="H77" s="40">
        <f>G77/F77</f>
        <v>6.0212244897959177</v>
      </c>
      <c r="I77" s="50">
        <f>H77*L1</f>
        <v>602.12244897959181</v>
      </c>
      <c r="J77" s="50">
        <f>I77*2</f>
        <v>1204.2448979591836</v>
      </c>
      <c r="K77" s="14">
        <f>H72*2</f>
        <v>132.09806157354618</v>
      </c>
    </row>
    <row r="78" spans="1:11" x14ac:dyDescent="0.25">
      <c r="A78" s="26"/>
      <c r="B78" s="45" t="s">
        <v>230</v>
      </c>
      <c r="C78" s="43" t="s">
        <v>231</v>
      </c>
      <c r="D78" s="40">
        <v>23.34</v>
      </c>
      <c r="E78" s="28"/>
      <c r="F78" s="27"/>
      <c r="G78" s="27"/>
      <c r="H78" s="40"/>
      <c r="I78" s="48"/>
      <c r="J78" s="48"/>
    </row>
    <row r="79" spans="1:11" x14ac:dyDescent="0.25">
      <c r="A79" s="26"/>
      <c r="B79" s="45" t="s">
        <v>232</v>
      </c>
      <c r="C79" s="43" t="s">
        <v>233</v>
      </c>
      <c r="D79" s="40">
        <v>11.53</v>
      </c>
      <c r="E79" s="28"/>
      <c r="F79" s="27"/>
      <c r="G79" s="27"/>
      <c r="H79" s="40"/>
      <c r="I79" s="48"/>
      <c r="J79" s="48"/>
    </row>
    <row r="80" spans="1:11" ht="15.75" thickBot="1" x14ac:dyDescent="0.3">
      <c r="A80" s="26"/>
      <c r="B80" s="83" t="s">
        <v>226</v>
      </c>
      <c r="C80" s="84" t="s">
        <v>227</v>
      </c>
      <c r="D80" s="41">
        <v>15.18</v>
      </c>
      <c r="E80" s="32"/>
      <c r="F80" s="27"/>
      <c r="G80" s="27"/>
      <c r="H80" s="40"/>
      <c r="I80" s="49"/>
      <c r="J80" s="49"/>
    </row>
    <row r="81" spans="1:11" ht="15.75" thickBot="1" x14ac:dyDescent="0.3">
      <c r="A81" s="12"/>
      <c r="B81" s="31"/>
      <c r="C81" s="31"/>
      <c r="D81" s="41"/>
      <c r="E81" s="31"/>
      <c r="F81" s="31"/>
      <c r="G81" s="31"/>
      <c r="H81" s="41"/>
      <c r="I81" s="90"/>
      <c r="J81" s="18"/>
    </row>
    <row r="82" spans="1:11" ht="15.75" thickBot="1" x14ac:dyDescent="0.3">
      <c r="A82" s="11" t="s">
        <v>236</v>
      </c>
      <c r="B82" s="92" t="s">
        <v>237</v>
      </c>
      <c r="C82" s="93"/>
      <c r="D82" s="94"/>
      <c r="E82" s="95" t="s">
        <v>101</v>
      </c>
      <c r="F82" s="24"/>
      <c r="G82" s="24"/>
      <c r="H82" s="51">
        <v>2.4</v>
      </c>
      <c r="I82" s="91">
        <f>H82*L1</f>
        <v>240</v>
      </c>
      <c r="J82" s="17"/>
    </row>
    <row r="83" spans="1:11" ht="15.75" thickBot="1" x14ac:dyDescent="0.3">
      <c r="A83" s="12"/>
      <c r="B83" s="31"/>
      <c r="C83" s="31"/>
      <c r="D83" s="41"/>
      <c r="E83" s="31"/>
      <c r="F83" s="31"/>
      <c r="G83" s="31"/>
      <c r="H83" s="41"/>
      <c r="I83" s="90"/>
      <c r="J83" s="18"/>
    </row>
    <row r="84" spans="1:11" x14ac:dyDescent="0.25">
      <c r="A84" s="11" t="s">
        <v>239</v>
      </c>
      <c r="B84" s="23" t="s">
        <v>237</v>
      </c>
      <c r="C84" s="24"/>
      <c r="D84" s="51"/>
      <c r="E84" s="25" t="s">
        <v>238</v>
      </c>
      <c r="F84" s="24"/>
      <c r="G84" s="24"/>
      <c r="H84" s="51">
        <v>6</v>
      </c>
      <c r="I84" s="91">
        <f t="array" ref="I84">SUM(H84:H86*L2)</f>
        <v>1073.8399999999999</v>
      </c>
      <c r="J84" s="17"/>
    </row>
    <row r="85" spans="1:11" x14ac:dyDescent="0.25">
      <c r="A85" s="26"/>
      <c r="B85" s="29" t="s">
        <v>81</v>
      </c>
      <c r="C85" s="27" t="s">
        <v>112</v>
      </c>
      <c r="D85" s="40">
        <v>9</v>
      </c>
      <c r="E85" s="28" t="s">
        <v>111</v>
      </c>
      <c r="F85" s="27"/>
      <c r="G85" s="27"/>
      <c r="H85" s="40">
        <v>1</v>
      </c>
      <c r="I85" s="34"/>
      <c r="J85" s="54"/>
    </row>
    <row r="86" spans="1:11" x14ac:dyDescent="0.25">
      <c r="A86" s="26"/>
      <c r="B86" s="29" t="s">
        <v>82</v>
      </c>
      <c r="C86" s="27" t="s">
        <v>112</v>
      </c>
      <c r="D86" s="40">
        <v>9</v>
      </c>
      <c r="E86" s="28" t="s">
        <v>111</v>
      </c>
      <c r="F86" s="27"/>
      <c r="G86" s="27"/>
      <c r="H86" s="40">
        <v>1</v>
      </c>
      <c r="I86" s="34"/>
      <c r="J86" s="54"/>
    </row>
    <row r="87" spans="1:11" ht="15.75" thickBot="1" x14ac:dyDescent="0.3">
      <c r="A87" s="26"/>
      <c r="B87" s="30" t="s">
        <v>83</v>
      </c>
      <c r="C87" s="31" t="s">
        <v>87</v>
      </c>
      <c r="D87" s="41">
        <v>13.85</v>
      </c>
      <c r="E87" s="32"/>
      <c r="F87" s="27"/>
      <c r="G87" s="27"/>
      <c r="H87" s="40">
        <v>3.85</v>
      </c>
      <c r="I87" s="86">
        <f>H87*L2</f>
        <v>516.78549999999996</v>
      </c>
      <c r="J87" s="54"/>
    </row>
    <row r="88" spans="1:11" ht="15.75" thickBot="1" x14ac:dyDescent="0.3">
      <c r="A88" s="12"/>
      <c r="B88" s="31"/>
      <c r="C88" s="31"/>
      <c r="D88" s="41"/>
      <c r="E88" s="31"/>
      <c r="F88" s="31"/>
      <c r="G88" s="31"/>
      <c r="H88" s="41"/>
      <c r="I88" s="90"/>
      <c r="J88" s="18"/>
    </row>
    <row r="89" spans="1:11" x14ac:dyDescent="0.25">
      <c r="A89" s="26" t="s">
        <v>265</v>
      </c>
      <c r="B89" s="29"/>
      <c r="C89" s="27"/>
      <c r="D89" s="40"/>
      <c r="E89" s="28"/>
      <c r="F89" s="27"/>
      <c r="G89" s="27"/>
      <c r="H89" s="40"/>
      <c r="I89" s="34"/>
      <c r="J89" s="54"/>
    </row>
    <row r="90" spans="1:11" x14ac:dyDescent="0.25">
      <c r="A90" s="26"/>
      <c r="B90" s="29" t="s">
        <v>277</v>
      </c>
      <c r="C90" s="27" t="s">
        <v>278</v>
      </c>
      <c r="D90" s="40">
        <v>200</v>
      </c>
      <c r="E90" s="28" t="s">
        <v>273</v>
      </c>
      <c r="F90" s="27">
        <v>80</v>
      </c>
      <c r="G90" s="27">
        <v>200</v>
      </c>
      <c r="H90" s="40">
        <f>G90/F90</f>
        <v>2.5</v>
      </c>
      <c r="I90" s="86">
        <f t="array" ref="I90">SUM(H90:H94*L1)</f>
        <v>1555</v>
      </c>
      <c r="J90" s="54"/>
      <c r="K90" s="14" t="s">
        <v>279</v>
      </c>
    </row>
    <row r="91" spans="1:11" x14ac:dyDescent="0.25">
      <c r="A91" s="26"/>
      <c r="B91" s="29"/>
      <c r="C91" s="27" t="s">
        <v>276</v>
      </c>
      <c r="D91" s="40"/>
      <c r="E91" s="28"/>
      <c r="F91" s="27"/>
      <c r="G91" s="27"/>
      <c r="H91" s="40"/>
      <c r="I91" s="34"/>
      <c r="J91" s="54"/>
    </row>
    <row r="92" spans="1:11" x14ac:dyDescent="0.25">
      <c r="A92" s="26"/>
      <c r="B92" s="29" t="s">
        <v>266</v>
      </c>
      <c r="C92" s="27" t="s">
        <v>267</v>
      </c>
      <c r="D92" s="40">
        <v>187.5</v>
      </c>
      <c r="E92" s="28" t="s">
        <v>274</v>
      </c>
      <c r="F92" s="27">
        <v>70</v>
      </c>
      <c r="G92" s="27">
        <v>187.5</v>
      </c>
      <c r="H92" s="40">
        <f>G92/F92</f>
        <v>2.6785714285714284</v>
      </c>
      <c r="I92" s="34"/>
      <c r="J92" s="54"/>
    </row>
    <row r="93" spans="1:11" x14ac:dyDescent="0.25">
      <c r="A93" s="26"/>
      <c r="B93" s="29" t="s">
        <v>268</v>
      </c>
      <c r="C93" s="27" t="s">
        <v>269</v>
      </c>
      <c r="D93" s="40">
        <v>60</v>
      </c>
      <c r="E93" s="28" t="s">
        <v>275</v>
      </c>
      <c r="F93" s="27">
        <v>12</v>
      </c>
      <c r="G93" s="27">
        <v>60</v>
      </c>
      <c r="H93" s="40">
        <f>G93/F93</f>
        <v>5</v>
      </c>
      <c r="I93" s="34"/>
      <c r="J93" s="54"/>
    </row>
    <row r="94" spans="1:11" ht="15.75" thickBot="1" x14ac:dyDescent="0.3">
      <c r="A94" s="26"/>
      <c r="B94" s="83" t="s">
        <v>270</v>
      </c>
      <c r="C94" s="84" t="s">
        <v>271</v>
      </c>
      <c r="D94" s="41">
        <v>188</v>
      </c>
      <c r="E94" s="96" t="s">
        <v>272</v>
      </c>
      <c r="F94" s="43">
        <v>35</v>
      </c>
      <c r="G94" s="43">
        <v>188</v>
      </c>
      <c r="H94" s="40">
        <f>G94/F94</f>
        <v>5.371428571428571</v>
      </c>
      <c r="I94" s="34"/>
      <c r="J94" s="54"/>
    </row>
    <row r="95" spans="1:11" ht="15.75" thickBot="1" x14ac:dyDescent="0.3">
      <c r="A95" s="12"/>
      <c r="B95" s="31"/>
      <c r="C95" s="31"/>
      <c r="D95" s="41"/>
      <c r="E95" s="31"/>
      <c r="F95" s="31"/>
      <c r="G95" s="31"/>
      <c r="H95" s="41"/>
      <c r="I95" s="90"/>
      <c r="J95" s="18"/>
    </row>
    <row r="96" spans="1:11" x14ac:dyDescent="0.25">
      <c r="A96" s="11" t="s">
        <v>283</v>
      </c>
      <c r="B96" s="23"/>
      <c r="C96" s="24"/>
      <c r="D96" s="51"/>
      <c r="E96" s="25"/>
      <c r="F96" s="24"/>
      <c r="G96" s="24"/>
      <c r="H96" s="51"/>
      <c r="I96" s="33"/>
      <c r="J96" s="17"/>
    </row>
    <row r="97" spans="1:11" x14ac:dyDescent="0.25">
      <c r="A97" s="26" t="s">
        <v>289</v>
      </c>
      <c r="B97" s="45" t="s">
        <v>284</v>
      </c>
      <c r="C97" s="43" t="s">
        <v>86</v>
      </c>
      <c r="D97" s="40">
        <v>999</v>
      </c>
      <c r="E97" s="97" t="s">
        <v>101</v>
      </c>
      <c r="F97" s="43">
        <v>400</v>
      </c>
      <c r="G97" s="43">
        <v>999</v>
      </c>
      <c r="H97" s="40">
        <f>G97/F97</f>
        <v>2.4975000000000001</v>
      </c>
      <c r="I97" s="86">
        <f>SUM(H97:H103)*L1</f>
        <v>2543.2262550881951</v>
      </c>
      <c r="J97" s="54"/>
      <c r="K97" s="14">
        <f t="array" ref="K97">SUM(H97:H98*L1)</f>
        <v>694.84090909090912</v>
      </c>
    </row>
    <row r="98" spans="1:11" x14ac:dyDescent="0.25">
      <c r="A98" s="26" t="s">
        <v>290</v>
      </c>
      <c r="B98" s="45" t="s">
        <v>285</v>
      </c>
      <c r="C98" s="43" t="s">
        <v>286</v>
      </c>
      <c r="D98" s="40">
        <v>420</v>
      </c>
      <c r="E98" s="97" t="s">
        <v>101</v>
      </c>
      <c r="F98" s="43">
        <v>110</v>
      </c>
      <c r="G98" s="43">
        <v>489.6</v>
      </c>
      <c r="H98" s="40">
        <f>G98/F98</f>
        <v>4.4509090909090911</v>
      </c>
      <c r="I98" s="34"/>
      <c r="J98" s="54"/>
    </row>
    <row r="99" spans="1:11" x14ac:dyDescent="0.25">
      <c r="A99" s="26"/>
      <c r="B99" s="45" t="s">
        <v>155</v>
      </c>
      <c r="C99" s="43" t="s">
        <v>287</v>
      </c>
      <c r="D99" s="40">
        <v>69.599999999999994</v>
      </c>
      <c r="E99" s="28"/>
      <c r="F99" s="27"/>
      <c r="G99" s="27"/>
      <c r="H99" s="40"/>
      <c r="I99" s="34"/>
      <c r="J99" s="54"/>
    </row>
    <row r="100" spans="1:11" x14ac:dyDescent="0.25">
      <c r="A100" s="29"/>
      <c r="B100" s="29" t="s">
        <v>305</v>
      </c>
      <c r="C100" s="27" t="s">
        <v>306</v>
      </c>
      <c r="D100" s="98">
        <v>105</v>
      </c>
      <c r="E100" s="28" t="s">
        <v>397</v>
      </c>
      <c r="F100">
        <v>25</v>
      </c>
      <c r="G100">
        <v>105</v>
      </c>
      <c r="H100" s="40">
        <f>G100/F100</f>
        <v>4.2</v>
      </c>
      <c r="I100" s="34"/>
      <c r="J100" s="54"/>
    </row>
    <row r="101" spans="1:11" x14ac:dyDescent="0.25">
      <c r="A101" s="26" t="s">
        <v>291</v>
      </c>
      <c r="B101" s="45" t="s">
        <v>285</v>
      </c>
      <c r="C101" s="43" t="s">
        <v>286</v>
      </c>
      <c r="D101" s="40">
        <v>420</v>
      </c>
      <c r="E101" s="28" t="s">
        <v>288</v>
      </c>
      <c r="F101" s="27">
        <v>66</v>
      </c>
      <c r="G101" s="40">
        <f>D101+D102</f>
        <v>489.6</v>
      </c>
      <c r="H101" s="40">
        <f>G101/F101</f>
        <v>7.4181818181818189</v>
      </c>
      <c r="I101" s="86"/>
      <c r="J101" s="54"/>
    </row>
    <row r="102" spans="1:11" x14ac:dyDescent="0.25">
      <c r="A102" s="26"/>
      <c r="B102" s="45" t="s">
        <v>155</v>
      </c>
      <c r="C102" s="43" t="s">
        <v>287</v>
      </c>
      <c r="D102" s="40">
        <v>69.599999999999994</v>
      </c>
      <c r="E102" s="28"/>
      <c r="F102" s="27"/>
      <c r="G102" s="27"/>
      <c r="H102" s="40"/>
      <c r="I102" s="34"/>
      <c r="J102" s="54"/>
    </row>
    <row r="103" spans="1:11" x14ac:dyDescent="0.25">
      <c r="A103" s="26" t="s">
        <v>292</v>
      </c>
      <c r="B103" s="45" t="s">
        <v>293</v>
      </c>
      <c r="C103" s="43" t="s">
        <v>302</v>
      </c>
      <c r="D103" s="40">
        <v>204</v>
      </c>
      <c r="E103" s="28" t="s">
        <v>184</v>
      </c>
      <c r="F103" s="43">
        <v>40.200000000000003</v>
      </c>
      <c r="G103" s="40">
        <f>D103+D104</f>
        <v>276</v>
      </c>
      <c r="H103" s="40">
        <f>G103/F103</f>
        <v>6.8656716417910442</v>
      </c>
      <c r="I103" s="34"/>
      <c r="J103" s="54"/>
    </row>
    <row r="104" spans="1:11" ht="15.75" thickBot="1" x14ac:dyDescent="0.3">
      <c r="A104" s="26"/>
      <c r="B104" s="83" t="s">
        <v>303</v>
      </c>
      <c r="C104" s="84" t="s">
        <v>294</v>
      </c>
      <c r="D104" s="41">
        <v>72</v>
      </c>
      <c r="E104" s="32"/>
      <c r="F104" s="27"/>
      <c r="G104" s="27"/>
      <c r="H104" s="40"/>
      <c r="I104" s="34"/>
      <c r="J104" s="54"/>
    </row>
    <row r="105" spans="1:11" ht="15.75" thickBot="1" x14ac:dyDescent="0.3">
      <c r="A105" s="12"/>
      <c r="B105" s="31"/>
      <c r="C105" s="31"/>
      <c r="D105" s="41"/>
      <c r="E105" s="31"/>
      <c r="F105" s="31"/>
      <c r="G105" s="31"/>
      <c r="H105" s="41"/>
      <c r="I105" s="90"/>
      <c r="J105" s="18"/>
    </row>
    <row r="106" spans="1:11" x14ac:dyDescent="0.25">
      <c r="A106" s="11" t="s">
        <v>119</v>
      </c>
      <c r="B106" s="24" t="s">
        <v>185</v>
      </c>
      <c r="C106" s="24"/>
      <c r="D106" s="51"/>
      <c r="E106" s="24"/>
      <c r="F106" s="24"/>
      <c r="G106" s="24"/>
      <c r="H106" s="51"/>
      <c r="I106" s="24"/>
      <c r="J106" s="17"/>
    </row>
    <row r="107" spans="1:11" x14ac:dyDescent="0.25">
      <c r="A107" s="26"/>
      <c r="B107" s="27"/>
      <c r="C107" s="27"/>
      <c r="D107" s="40"/>
      <c r="E107" s="27"/>
      <c r="F107" s="27"/>
      <c r="G107" s="27"/>
      <c r="H107" s="40"/>
      <c r="I107" s="27"/>
      <c r="J107" s="54"/>
    </row>
    <row r="108" spans="1:11" x14ac:dyDescent="0.25">
      <c r="A108" s="26" t="s">
        <v>120</v>
      </c>
      <c r="B108" s="27" t="s">
        <v>178</v>
      </c>
      <c r="C108" s="27"/>
      <c r="D108" s="40"/>
      <c r="E108" s="27"/>
      <c r="F108" s="27"/>
      <c r="G108" s="27"/>
      <c r="H108" s="40"/>
      <c r="I108" s="27"/>
      <c r="J108" s="54"/>
    </row>
    <row r="109" spans="1:11" x14ac:dyDescent="0.25">
      <c r="A109" s="26"/>
      <c r="B109" s="27" t="s">
        <v>179</v>
      </c>
      <c r="C109" s="27"/>
      <c r="D109" s="40"/>
      <c r="E109" s="27"/>
      <c r="F109" s="27"/>
      <c r="G109" s="27"/>
      <c r="H109" s="40"/>
      <c r="I109" s="27"/>
      <c r="J109" s="54"/>
    </row>
    <row r="110" spans="1:11" x14ac:dyDescent="0.25">
      <c r="A110" s="26"/>
      <c r="B110" s="27" t="s">
        <v>180</v>
      </c>
      <c r="C110" s="27"/>
      <c r="D110" s="40"/>
      <c r="E110" s="27"/>
      <c r="F110" s="27"/>
      <c r="G110" s="27"/>
      <c r="H110" s="40"/>
      <c r="I110" s="27"/>
      <c r="J110" s="54"/>
    </row>
    <row r="111" spans="1:11" ht="15.75" thickBot="1" x14ac:dyDescent="0.3">
      <c r="A111" s="12"/>
      <c r="B111" s="31"/>
      <c r="C111" s="31"/>
      <c r="D111" s="41"/>
      <c r="E111" s="31"/>
      <c r="F111" s="31"/>
      <c r="G111" s="31"/>
      <c r="H111" s="41"/>
      <c r="I111" s="31"/>
      <c r="J111" s="18"/>
    </row>
    <row r="112" spans="1:11" x14ac:dyDescent="0.25">
      <c r="A112" s="11" t="s">
        <v>307</v>
      </c>
      <c r="B112" s="24"/>
      <c r="C112" s="24"/>
      <c r="D112" s="51"/>
      <c r="E112" s="24"/>
      <c r="F112" s="24"/>
      <c r="G112" s="24"/>
      <c r="H112" s="51" t="s">
        <v>313</v>
      </c>
      <c r="I112" s="24"/>
      <c r="J112" s="17"/>
    </row>
    <row r="113" spans="1:10" x14ac:dyDescent="0.25">
      <c r="A113" s="26"/>
      <c r="B113" s="43" t="s">
        <v>284</v>
      </c>
      <c r="C113" s="27" t="s">
        <v>86</v>
      </c>
      <c r="D113" s="40">
        <v>999</v>
      </c>
      <c r="E113" s="27" t="s">
        <v>312</v>
      </c>
      <c r="F113" s="27"/>
      <c r="G113" s="27">
        <v>2022.9749999999999</v>
      </c>
      <c r="H113" s="40">
        <f>SUM(G113:G115)</f>
        <v>2852.9749999999999</v>
      </c>
      <c r="I113" s="40">
        <f>H113*2.58</f>
        <v>7360.6755000000003</v>
      </c>
      <c r="J113" s="54"/>
    </row>
    <row r="114" spans="1:10" x14ac:dyDescent="0.25">
      <c r="A114" s="26"/>
      <c r="B114" s="43" t="s">
        <v>309</v>
      </c>
      <c r="C114" s="27" t="s">
        <v>308</v>
      </c>
      <c r="D114" s="40">
        <v>11</v>
      </c>
      <c r="E114" s="27" t="s">
        <v>310</v>
      </c>
      <c r="F114" s="27"/>
      <c r="G114" s="27">
        <v>456.5</v>
      </c>
      <c r="H114" s="40"/>
      <c r="I114" s="27"/>
      <c r="J114" s="54"/>
    </row>
    <row r="115" spans="1:10" x14ac:dyDescent="0.25">
      <c r="A115" s="26"/>
      <c r="B115" s="43" t="s">
        <v>81</v>
      </c>
      <c r="C115" s="27" t="s">
        <v>308</v>
      </c>
      <c r="D115" s="40">
        <v>9</v>
      </c>
      <c r="E115" s="27" t="s">
        <v>311</v>
      </c>
      <c r="F115" s="27"/>
      <c r="G115" s="27">
        <v>373.5</v>
      </c>
      <c r="H115" s="40"/>
      <c r="I115" s="27"/>
      <c r="J115" s="54"/>
    </row>
    <row r="116" spans="1:10" x14ac:dyDescent="0.25">
      <c r="A116" s="26"/>
      <c r="B116" s="27"/>
      <c r="C116" s="27"/>
      <c r="D116" s="40"/>
      <c r="E116" s="27"/>
      <c r="F116" s="27"/>
      <c r="G116" s="27"/>
      <c r="H116" s="40"/>
      <c r="I116" s="27"/>
      <c r="J116" s="54"/>
    </row>
    <row r="117" spans="1:10" x14ac:dyDescent="0.25">
      <c r="A117" s="26"/>
      <c r="B117" s="27"/>
      <c r="C117" s="27"/>
      <c r="D117" s="40"/>
      <c r="E117" s="27"/>
      <c r="F117" s="27"/>
      <c r="G117" s="27"/>
      <c r="H117" s="40"/>
      <c r="I117" s="27"/>
      <c r="J117" s="54"/>
    </row>
    <row r="118" spans="1:10" x14ac:dyDescent="0.25">
      <c r="A118" s="26"/>
      <c r="B118" s="27"/>
      <c r="C118" s="27"/>
      <c r="D118" s="40"/>
      <c r="E118" s="27"/>
      <c r="F118" s="27"/>
      <c r="G118" s="27"/>
      <c r="H118" s="40"/>
      <c r="I118" s="27"/>
      <c r="J118" s="54"/>
    </row>
    <row r="119" spans="1:10" x14ac:dyDescent="0.25">
      <c r="A119" s="26"/>
      <c r="B119" s="27"/>
      <c r="C119" s="27"/>
      <c r="D119" s="40"/>
      <c r="E119" s="27"/>
      <c r="F119" s="27"/>
      <c r="G119" s="27"/>
      <c r="H119" s="40"/>
      <c r="I119" s="27"/>
      <c r="J119" s="54"/>
    </row>
    <row r="120" spans="1:10" ht="15.75" thickBot="1" x14ac:dyDescent="0.3">
      <c r="A120" s="12"/>
      <c r="B120" s="31"/>
      <c r="C120" s="31"/>
      <c r="D120" s="41"/>
      <c r="E120" s="31"/>
      <c r="F120" s="31"/>
      <c r="G120" s="31"/>
      <c r="H120" s="41"/>
      <c r="I120" s="31"/>
      <c r="J120" s="18"/>
    </row>
    <row r="121" spans="1:10" x14ac:dyDescent="0.25">
      <c r="A121" s="11" t="s">
        <v>318</v>
      </c>
      <c r="B121" s="24"/>
      <c r="C121" s="24"/>
      <c r="D121" s="51"/>
      <c r="E121" s="24"/>
      <c r="F121" s="24"/>
      <c r="G121" s="24"/>
      <c r="H121" s="51"/>
      <c r="I121" s="89"/>
      <c r="J121" s="17"/>
    </row>
    <row r="122" spans="1:10" x14ac:dyDescent="0.25">
      <c r="A122" s="26"/>
      <c r="B122" s="27"/>
      <c r="C122" s="27"/>
      <c r="D122" s="40"/>
      <c r="E122" s="27"/>
      <c r="F122" s="27"/>
      <c r="G122" s="27"/>
      <c r="H122" s="40"/>
      <c r="I122" s="101"/>
      <c r="J122" s="54"/>
    </row>
    <row r="123" spans="1:10" ht="15.75" thickBot="1" x14ac:dyDescent="0.3">
      <c r="A123" s="26" t="s">
        <v>118</v>
      </c>
      <c r="B123" s="27"/>
      <c r="C123" s="27"/>
      <c r="D123" s="40"/>
      <c r="E123" s="27"/>
      <c r="F123" s="27"/>
      <c r="G123" s="27"/>
      <c r="H123" s="40"/>
      <c r="I123" s="101"/>
      <c r="J123" s="54"/>
    </row>
    <row r="124" spans="1:10" x14ac:dyDescent="0.25">
      <c r="A124" s="26" t="s">
        <v>340</v>
      </c>
      <c r="B124" s="23" t="s">
        <v>336</v>
      </c>
      <c r="C124" s="24" t="s">
        <v>319</v>
      </c>
      <c r="D124" s="51">
        <v>335</v>
      </c>
      <c r="E124" s="25" t="s">
        <v>334</v>
      </c>
      <c r="F124" s="27">
        <v>67</v>
      </c>
      <c r="G124" s="27">
        <v>335</v>
      </c>
      <c r="H124" s="40">
        <f>G124/F124</f>
        <v>5</v>
      </c>
      <c r="I124" s="102">
        <f>H124*L1</f>
        <v>500</v>
      </c>
      <c r="J124" s="54"/>
    </row>
    <row r="125" spans="1:10" x14ac:dyDescent="0.25">
      <c r="A125" s="26"/>
      <c r="B125" s="29" t="s">
        <v>337</v>
      </c>
      <c r="C125" s="27" t="s">
        <v>287</v>
      </c>
      <c r="D125" s="40"/>
      <c r="E125" s="28"/>
      <c r="F125" s="27"/>
      <c r="G125" s="27"/>
      <c r="H125" s="40"/>
      <c r="I125" s="101"/>
      <c r="J125" s="54"/>
    </row>
    <row r="126" spans="1:10" x14ac:dyDescent="0.25">
      <c r="A126" s="26"/>
      <c r="B126" s="110" t="s">
        <v>350</v>
      </c>
      <c r="C126" s="111" t="s">
        <v>306</v>
      </c>
      <c r="D126" s="112">
        <v>105</v>
      </c>
      <c r="E126" s="113" t="s">
        <v>351</v>
      </c>
      <c r="F126" s="111">
        <f>0.268*L1</f>
        <v>26.8</v>
      </c>
      <c r="G126" s="111">
        <f>105/25</f>
        <v>4.2</v>
      </c>
      <c r="H126" s="112"/>
      <c r="I126" s="129">
        <f>G126*F126</f>
        <v>112.56</v>
      </c>
      <c r="J126" s="116"/>
    </row>
    <row r="127" spans="1:10" x14ac:dyDescent="0.25">
      <c r="A127" s="26"/>
      <c r="B127" s="29" t="s">
        <v>338</v>
      </c>
      <c r="C127" s="27" t="s">
        <v>319</v>
      </c>
      <c r="D127" s="40">
        <v>443</v>
      </c>
      <c r="E127" s="28" t="s">
        <v>335</v>
      </c>
      <c r="F127" s="27">
        <v>67</v>
      </c>
      <c r="G127" s="27">
        <v>443</v>
      </c>
      <c r="H127" s="40">
        <f>G127/F127</f>
        <v>6.6119402985074629</v>
      </c>
      <c r="I127" s="102">
        <f>H127*L1</f>
        <v>661.19402985074635</v>
      </c>
      <c r="J127" s="54"/>
    </row>
    <row r="128" spans="1:10" ht="15.75" thickBot="1" x14ac:dyDescent="0.3">
      <c r="A128" s="26"/>
      <c r="B128" s="29" t="s">
        <v>339</v>
      </c>
      <c r="C128" s="27" t="s">
        <v>287</v>
      </c>
      <c r="D128" s="40"/>
      <c r="E128" s="28"/>
      <c r="F128" s="27"/>
      <c r="G128" s="27"/>
      <c r="H128" s="40"/>
      <c r="I128" s="101"/>
      <c r="J128" s="53">
        <f>SUM(I124:I127)</f>
        <v>1273.7540298507463</v>
      </c>
    </row>
    <row r="129" spans="1:11" ht="15.75" thickBot="1" x14ac:dyDescent="0.3">
      <c r="A129" s="59"/>
      <c r="B129" s="93"/>
      <c r="C129" s="93"/>
      <c r="D129" s="94"/>
      <c r="E129" s="93"/>
      <c r="F129" s="93"/>
      <c r="G129" s="93"/>
      <c r="H129" s="94"/>
      <c r="I129" s="93"/>
      <c r="J129" s="100"/>
      <c r="K129"/>
    </row>
    <row r="130" spans="1:11" ht="15.75" thickBot="1" x14ac:dyDescent="0.3">
      <c r="A130" s="11" t="s">
        <v>320</v>
      </c>
      <c r="B130" s="24" t="s">
        <v>326</v>
      </c>
      <c r="C130" s="24"/>
      <c r="D130" s="51"/>
      <c r="E130" s="24"/>
      <c r="F130" s="24"/>
      <c r="G130" s="24"/>
      <c r="H130" s="51"/>
      <c r="I130" s="24"/>
      <c r="J130" s="17"/>
      <c r="K130"/>
    </row>
    <row r="131" spans="1:11" x14ac:dyDescent="0.25">
      <c r="A131" s="26"/>
      <c r="B131" s="82" t="s">
        <v>220</v>
      </c>
      <c r="C131" s="87" t="s">
        <v>222</v>
      </c>
      <c r="D131" s="51">
        <v>39.36</v>
      </c>
      <c r="E131" s="88" t="s">
        <v>234</v>
      </c>
      <c r="F131" s="43">
        <v>1.754</v>
      </c>
      <c r="G131" s="40">
        <f>SUM(D131:D134)</f>
        <v>115.85</v>
      </c>
      <c r="H131" s="40">
        <f>G131/F131</f>
        <v>66.049030786773088</v>
      </c>
      <c r="I131" s="99">
        <f>H131*L1</f>
        <v>6604.9030786773092</v>
      </c>
      <c r="J131" s="47"/>
      <c r="K131"/>
    </row>
    <row r="132" spans="1:11" x14ac:dyDescent="0.25">
      <c r="A132" s="26"/>
      <c r="B132" s="45" t="s">
        <v>223</v>
      </c>
      <c r="C132" s="43" t="s">
        <v>224</v>
      </c>
      <c r="D132" s="40">
        <v>40.53</v>
      </c>
      <c r="E132" s="28"/>
      <c r="F132" s="27"/>
      <c r="G132" s="27"/>
      <c r="H132" s="40"/>
      <c r="I132" s="48"/>
      <c r="J132" s="48"/>
      <c r="K132"/>
    </row>
    <row r="133" spans="1:11" x14ac:dyDescent="0.25">
      <c r="A133" s="26"/>
      <c r="B133" s="45" t="s">
        <v>225</v>
      </c>
      <c r="C133" s="43" t="s">
        <v>221</v>
      </c>
      <c r="D133" s="40">
        <v>20.78</v>
      </c>
      <c r="E133" s="28"/>
      <c r="F133" s="27"/>
      <c r="G133" s="27"/>
      <c r="H133" s="40"/>
      <c r="I133" s="48"/>
      <c r="J133" s="48"/>
      <c r="K133"/>
    </row>
    <row r="134" spans="1:11" x14ac:dyDescent="0.25">
      <c r="A134" s="26"/>
      <c r="B134" s="45" t="s">
        <v>226</v>
      </c>
      <c r="C134" s="43" t="s">
        <v>227</v>
      </c>
      <c r="D134" s="40">
        <v>15.18</v>
      </c>
      <c r="E134" s="28"/>
      <c r="F134" s="27"/>
      <c r="G134" s="27"/>
      <c r="H134" s="40"/>
      <c r="I134" s="48"/>
      <c r="J134" s="48"/>
      <c r="K134"/>
    </row>
    <row r="135" spans="1:11" x14ac:dyDescent="0.25">
      <c r="A135" s="26"/>
      <c r="B135" s="29"/>
      <c r="C135" s="27"/>
      <c r="D135" s="40"/>
      <c r="E135" s="28"/>
      <c r="F135" s="27"/>
      <c r="G135" s="27"/>
      <c r="H135" s="40"/>
      <c r="I135" s="48"/>
      <c r="J135" s="48"/>
      <c r="K135"/>
    </row>
    <row r="136" spans="1:11" x14ac:dyDescent="0.25">
      <c r="A136" s="26"/>
      <c r="B136" s="45" t="s">
        <v>228</v>
      </c>
      <c r="C136" s="43" t="s">
        <v>229</v>
      </c>
      <c r="D136" s="40">
        <v>23.71</v>
      </c>
      <c r="E136" s="28" t="s">
        <v>235</v>
      </c>
      <c r="F136" s="27">
        <v>12.25</v>
      </c>
      <c r="G136" s="40">
        <f>SUM(D136:D139)</f>
        <v>73.759999999999991</v>
      </c>
      <c r="H136" s="40">
        <f>G136/F136</f>
        <v>6.0212244897959177</v>
      </c>
      <c r="I136" s="50">
        <f>H136*L1</f>
        <v>602.12244897959181</v>
      </c>
      <c r="J136" s="50">
        <f>I136*2</f>
        <v>1204.2448979591836</v>
      </c>
      <c r="K136"/>
    </row>
    <row r="137" spans="1:11" x14ac:dyDescent="0.25">
      <c r="A137" s="26"/>
      <c r="B137" s="45" t="s">
        <v>230</v>
      </c>
      <c r="C137" s="43" t="s">
        <v>231</v>
      </c>
      <c r="D137" s="40">
        <v>23.34</v>
      </c>
      <c r="E137" s="28"/>
      <c r="F137" s="27"/>
      <c r="G137" s="27"/>
      <c r="H137" s="40"/>
      <c r="I137" s="48"/>
      <c r="J137" s="48"/>
      <c r="K137"/>
    </row>
    <row r="138" spans="1:11" x14ac:dyDescent="0.25">
      <c r="A138" s="26"/>
      <c r="B138" s="45" t="s">
        <v>232</v>
      </c>
      <c r="C138" s="43" t="s">
        <v>233</v>
      </c>
      <c r="D138" s="40">
        <v>11.53</v>
      </c>
      <c r="E138" s="28"/>
      <c r="F138" s="27"/>
      <c r="G138" s="27"/>
      <c r="H138" s="40"/>
      <c r="I138" s="48"/>
      <c r="J138" s="48"/>
      <c r="K138"/>
    </row>
    <row r="139" spans="1:11" ht="15.75" thickBot="1" x14ac:dyDescent="0.3">
      <c r="A139" s="26"/>
      <c r="B139" s="83" t="s">
        <v>226</v>
      </c>
      <c r="C139" s="84" t="s">
        <v>227</v>
      </c>
      <c r="D139" s="41">
        <v>15.18</v>
      </c>
      <c r="E139" s="32"/>
      <c r="F139" s="27"/>
      <c r="G139" s="27"/>
      <c r="H139" s="40"/>
      <c r="I139" s="49"/>
      <c r="J139" s="49"/>
      <c r="K139"/>
    </row>
    <row r="140" spans="1:11" x14ac:dyDescent="0.25">
      <c r="A140" s="26"/>
      <c r="B140" s="27"/>
      <c r="C140" s="27"/>
      <c r="D140" s="40"/>
      <c r="E140" s="27"/>
      <c r="F140" s="27"/>
      <c r="G140" s="27"/>
      <c r="H140" s="40"/>
      <c r="I140" s="27"/>
      <c r="J140" s="54"/>
      <c r="K140"/>
    </row>
    <row r="141" spans="1:11" ht="15.75" thickBot="1" x14ac:dyDescent="0.3">
      <c r="A141" s="12"/>
      <c r="B141" s="31"/>
      <c r="C141" s="31"/>
      <c r="D141" s="41"/>
      <c r="E141" s="31"/>
      <c r="F141" s="31"/>
      <c r="G141" s="31"/>
      <c r="H141" s="41"/>
      <c r="I141" s="31"/>
      <c r="J141" s="18"/>
      <c r="K141"/>
    </row>
    <row r="142" spans="1:11" x14ac:dyDescent="0.25">
      <c r="A142" s="11"/>
      <c r="B142" s="24"/>
      <c r="C142" s="24"/>
      <c r="D142" s="51"/>
      <c r="E142" s="24"/>
      <c r="F142" s="24"/>
      <c r="G142" s="24"/>
      <c r="H142" s="51"/>
      <c r="I142" s="89"/>
      <c r="J142" s="17"/>
      <c r="K142"/>
    </row>
    <row r="143" spans="1:11" ht="15.75" thickBot="1" x14ac:dyDescent="0.3">
      <c r="A143" s="26" t="s">
        <v>323</v>
      </c>
      <c r="B143" s="27"/>
      <c r="C143" s="27"/>
      <c r="D143" s="40"/>
      <c r="E143" s="27"/>
      <c r="F143" s="27"/>
      <c r="G143" s="27"/>
      <c r="H143" s="40"/>
      <c r="I143" s="48"/>
      <c r="J143" s="54"/>
    </row>
    <row r="144" spans="1:11" x14ac:dyDescent="0.25">
      <c r="A144" s="26"/>
      <c r="B144" s="23" t="s">
        <v>323</v>
      </c>
      <c r="C144" s="24" t="s">
        <v>78</v>
      </c>
      <c r="D144" s="51">
        <v>152.24</v>
      </c>
      <c r="E144" s="25" t="s">
        <v>324</v>
      </c>
      <c r="F144" s="27">
        <v>100</v>
      </c>
      <c r="G144" s="27">
        <v>152.24</v>
      </c>
      <c r="H144" s="40">
        <f>G144/F144</f>
        <v>1.5224000000000002</v>
      </c>
      <c r="I144" s="50">
        <f>H144*L1</f>
        <v>152.24</v>
      </c>
      <c r="J144" s="54"/>
    </row>
    <row r="145" spans="1:10" ht="15.75" thickBot="1" x14ac:dyDescent="0.3">
      <c r="A145" s="26"/>
      <c r="B145" s="30" t="s">
        <v>323</v>
      </c>
      <c r="C145" s="31" t="s">
        <v>78</v>
      </c>
      <c r="D145" s="41">
        <v>152.24</v>
      </c>
      <c r="E145" s="32" t="s">
        <v>325</v>
      </c>
      <c r="F145" s="27">
        <v>200</v>
      </c>
      <c r="G145" s="27">
        <v>152.24</v>
      </c>
      <c r="H145" s="40">
        <f>G145/F145</f>
        <v>0.7612000000000001</v>
      </c>
      <c r="I145" s="50">
        <f>H145*L1</f>
        <v>76.12</v>
      </c>
      <c r="J145" s="54"/>
    </row>
    <row r="146" spans="1:10" ht="15.75" thickBot="1" x14ac:dyDescent="0.3">
      <c r="A146" s="12"/>
      <c r="B146" s="31"/>
      <c r="C146" s="31"/>
      <c r="D146" s="41"/>
      <c r="E146" s="31"/>
      <c r="F146" s="31"/>
      <c r="G146" s="31"/>
      <c r="H146" s="41"/>
      <c r="I146" s="49"/>
      <c r="J146" s="18"/>
    </row>
    <row r="147" spans="1:10" x14ac:dyDescent="0.25">
      <c r="A147" s="103" t="s">
        <v>327</v>
      </c>
      <c r="B147" s="104"/>
      <c r="C147" s="105"/>
      <c r="D147" s="106"/>
      <c r="E147" s="107"/>
      <c r="F147" s="105"/>
      <c r="G147" s="105"/>
      <c r="H147" s="106"/>
      <c r="I147" s="130"/>
      <c r="J147" s="108"/>
    </row>
    <row r="148" spans="1:10" x14ac:dyDescent="0.25">
      <c r="A148" s="109">
        <v>0.25069444444444444</v>
      </c>
      <c r="B148" s="110" t="s">
        <v>329</v>
      </c>
      <c r="C148" s="111" t="s">
        <v>193</v>
      </c>
      <c r="D148" s="112">
        <v>263.62</v>
      </c>
      <c r="E148" s="113" t="s">
        <v>328</v>
      </c>
      <c r="F148" s="111" t="s">
        <v>333</v>
      </c>
      <c r="G148" s="111">
        <v>432.75</v>
      </c>
      <c r="H148" s="112"/>
      <c r="I148" s="131">
        <f>G148/27.27</f>
        <v>15.869086908690869</v>
      </c>
      <c r="J148" s="114">
        <f t="array" ref="J148">SUM(D148:D149*I148)</f>
        <v>6565.5173267326736</v>
      </c>
    </row>
    <row r="149" spans="1:10" x14ac:dyDescent="0.25">
      <c r="A149" s="115" t="s">
        <v>365</v>
      </c>
      <c r="B149" s="110" t="s">
        <v>330</v>
      </c>
      <c r="C149" s="111" t="s">
        <v>331</v>
      </c>
      <c r="D149" s="112">
        <v>150.11000000000001</v>
      </c>
      <c r="E149" s="113"/>
      <c r="F149" s="111"/>
      <c r="G149" s="111"/>
      <c r="H149" s="112"/>
      <c r="I149" s="131"/>
      <c r="J149" s="116"/>
    </row>
    <row r="150" spans="1:10" ht="15.75" thickBot="1" x14ac:dyDescent="0.3">
      <c r="A150" s="115" t="s">
        <v>366</v>
      </c>
      <c r="B150" s="117" t="s">
        <v>332</v>
      </c>
      <c r="C150" s="118" t="s">
        <v>308</v>
      </c>
      <c r="D150" s="119">
        <v>9</v>
      </c>
      <c r="E150" s="120"/>
      <c r="F150" s="111"/>
      <c r="G150" s="111">
        <v>2596.5</v>
      </c>
      <c r="H150" s="112"/>
      <c r="I150" s="131">
        <f>G150/12</f>
        <v>216.375</v>
      </c>
      <c r="J150" s="114">
        <f>I150*D150</f>
        <v>1947.375</v>
      </c>
    </row>
    <row r="151" spans="1:10" ht="15.75" thickBot="1" x14ac:dyDescent="0.3">
      <c r="A151" s="121"/>
      <c r="B151" s="118"/>
      <c r="C151" s="118"/>
      <c r="D151" s="119"/>
      <c r="E151" s="118"/>
      <c r="F151" s="118"/>
      <c r="G151" s="118"/>
      <c r="H151" s="119"/>
      <c r="I151" s="132"/>
      <c r="J151" s="122"/>
    </row>
    <row r="152" spans="1:10" ht="15.75" thickBot="1" x14ac:dyDescent="0.3">
      <c r="A152" s="11"/>
      <c r="B152" s="24"/>
      <c r="C152" s="24"/>
      <c r="D152" s="51"/>
      <c r="E152" s="24"/>
      <c r="F152" s="24"/>
      <c r="G152" s="24"/>
      <c r="H152" s="51"/>
      <c r="I152" s="47"/>
      <c r="J152" s="17"/>
    </row>
    <row r="153" spans="1:10" x14ac:dyDescent="0.25">
      <c r="A153" s="26" t="s">
        <v>355</v>
      </c>
      <c r="B153" s="23"/>
      <c r="C153" s="24"/>
      <c r="D153" s="51"/>
      <c r="E153" s="25"/>
      <c r="F153" s="27"/>
      <c r="G153" s="27"/>
      <c r="H153" s="40"/>
      <c r="I153" s="48"/>
      <c r="J153" s="54"/>
    </row>
    <row r="154" spans="1:10" ht="15.75" thickBot="1" x14ac:dyDescent="0.3">
      <c r="A154" s="26"/>
      <c r="B154" s="30"/>
      <c r="C154" s="31" t="s">
        <v>356</v>
      </c>
      <c r="D154" s="41">
        <v>105.6</v>
      </c>
      <c r="E154" s="32" t="s">
        <v>357</v>
      </c>
      <c r="F154" s="27">
        <v>32</v>
      </c>
      <c r="G154" s="27">
        <v>105.6</v>
      </c>
      <c r="H154" s="40">
        <f>G154/F154</f>
        <v>3.3</v>
      </c>
      <c r="I154" s="50">
        <f>H154*L1</f>
        <v>330</v>
      </c>
      <c r="J154" s="53">
        <f>I154*2</f>
        <v>660</v>
      </c>
    </row>
    <row r="155" spans="1:10" ht="15.75" thickBot="1" x14ac:dyDescent="0.3">
      <c r="A155" s="12"/>
      <c r="B155" s="31"/>
      <c r="C155" s="31"/>
      <c r="D155" s="41"/>
      <c r="E155" s="31"/>
      <c r="F155" s="31"/>
      <c r="G155" s="31"/>
      <c r="H155" s="41"/>
      <c r="I155" s="49"/>
      <c r="J155" s="18"/>
    </row>
    <row r="156" spans="1:10" ht="15.75" thickBot="1" x14ac:dyDescent="0.3">
      <c r="A156" s="11" t="s">
        <v>374</v>
      </c>
      <c r="B156" s="24"/>
      <c r="C156" s="24"/>
      <c r="D156" s="51"/>
      <c r="E156" s="24"/>
      <c r="F156" s="24"/>
      <c r="G156" s="24"/>
      <c r="H156" s="51"/>
      <c r="I156" s="47"/>
      <c r="J156" s="17"/>
    </row>
    <row r="157" spans="1:10" x14ac:dyDescent="0.25">
      <c r="A157" s="26"/>
      <c r="B157" s="23" t="s">
        <v>372</v>
      </c>
      <c r="C157" s="24" t="s">
        <v>375</v>
      </c>
      <c r="D157" s="51">
        <v>185.5</v>
      </c>
      <c r="E157" s="24" t="s">
        <v>376</v>
      </c>
      <c r="F157" s="24">
        <v>50</v>
      </c>
      <c r="G157" s="25">
        <v>286.5</v>
      </c>
      <c r="H157" s="40">
        <f>G157/F157</f>
        <v>5.73</v>
      </c>
      <c r="I157" s="50">
        <f>L1*H157</f>
        <v>573</v>
      </c>
      <c r="J157" s="54"/>
    </row>
    <row r="158" spans="1:10" ht="15.75" thickBot="1" x14ac:dyDescent="0.3">
      <c r="A158" s="12"/>
      <c r="B158" s="30" t="s">
        <v>373</v>
      </c>
      <c r="C158" s="31" t="s">
        <v>356</v>
      </c>
      <c r="D158" s="41">
        <v>101</v>
      </c>
      <c r="E158" s="31"/>
      <c r="F158" s="31"/>
      <c r="G158" s="32"/>
      <c r="H158" s="41"/>
      <c r="I158" s="49"/>
      <c r="J158" s="18"/>
    </row>
    <row r="159" spans="1:10" x14ac:dyDescent="0.25">
      <c r="A159" s="11"/>
      <c r="B159" s="24"/>
      <c r="C159" s="24"/>
      <c r="D159" s="51"/>
      <c r="E159" s="24"/>
      <c r="F159" s="24"/>
      <c r="G159" s="24"/>
      <c r="H159" s="51"/>
      <c r="I159" s="89"/>
      <c r="J159" s="47"/>
    </row>
    <row r="160" spans="1:10" ht="15.75" thickBot="1" x14ac:dyDescent="0.3">
      <c r="A160" s="26" t="s">
        <v>382</v>
      </c>
      <c r="B160" s="27"/>
      <c r="C160" s="27"/>
      <c r="D160" s="40"/>
      <c r="E160" s="27"/>
      <c r="F160" s="27"/>
      <c r="G160" s="27"/>
      <c r="H160" s="40"/>
      <c r="I160" s="101"/>
      <c r="J160" s="48"/>
    </row>
    <row r="161" spans="1:14" x14ac:dyDescent="0.25">
      <c r="A161" s="26"/>
      <c r="B161" s="23" t="s">
        <v>383</v>
      </c>
      <c r="C161" s="24" t="s">
        <v>163</v>
      </c>
      <c r="D161" s="51">
        <v>175</v>
      </c>
      <c r="E161" s="24" t="s">
        <v>272</v>
      </c>
      <c r="F161" s="24">
        <v>70</v>
      </c>
      <c r="G161" s="25">
        <v>252.1</v>
      </c>
      <c r="H161" s="40">
        <f>G161/F161</f>
        <v>3.6014285714285714</v>
      </c>
      <c r="I161" s="102">
        <f>H161*L1*2</f>
        <v>720.28571428571433</v>
      </c>
      <c r="J161" s="48"/>
    </row>
    <row r="162" spans="1:14" x14ac:dyDescent="0.25">
      <c r="A162" s="26"/>
      <c r="B162" s="29" t="s">
        <v>384</v>
      </c>
      <c r="C162" s="27" t="s">
        <v>165</v>
      </c>
      <c r="D162" s="40">
        <v>77.099999999999994</v>
      </c>
      <c r="E162" s="27"/>
      <c r="F162" s="27"/>
      <c r="G162" s="28"/>
      <c r="H162" s="40"/>
      <c r="I162" s="101"/>
      <c r="J162" s="48"/>
    </row>
    <row r="163" spans="1:14" ht="15.75" thickBot="1" x14ac:dyDescent="0.3">
      <c r="A163" s="12"/>
      <c r="B163" s="30" t="s">
        <v>305</v>
      </c>
      <c r="C163" s="31" t="s">
        <v>306</v>
      </c>
      <c r="D163" s="41">
        <v>105</v>
      </c>
      <c r="E163" s="31" t="s">
        <v>348</v>
      </c>
      <c r="F163" s="31" t="s">
        <v>385</v>
      </c>
      <c r="G163" s="32"/>
      <c r="H163" s="41"/>
      <c r="I163" s="152"/>
      <c r="J163" s="49"/>
    </row>
    <row r="164" spans="1:14" ht="15.75" thickBot="1" x14ac:dyDescent="0.3">
      <c r="A164" s="11"/>
      <c r="B164" s="24"/>
      <c r="C164" s="24"/>
      <c r="D164" s="51"/>
      <c r="E164" s="24"/>
      <c r="F164" s="24"/>
      <c r="G164" s="24"/>
      <c r="H164" s="51"/>
      <c r="I164" s="89"/>
      <c r="J164" s="17"/>
    </row>
    <row r="165" spans="1:14" ht="15.75" thickBot="1" x14ac:dyDescent="0.3">
      <c r="A165" s="26" t="s">
        <v>404</v>
      </c>
      <c r="B165" s="153"/>
      <c r="C165" s="93" t="s">
        <v>78</v>
      </c>
      <c r="D165" s="94">
        <v>225</v>
      </c>
      <c r="E165" s="93" t="s">
        <v>405</v>
      </c>
      <c r="F165" s="93" t="s">
        <v>406</v>
      </c>
      <c r="G165" s="95">
        <v>225</v>
      </c>
      <c r="H165" s="40">
        <v>0.75</v>
      </c>
      <c r="I165" s="102">
        <f>H165*L1</f>
        <v>75</v>
      </c>
      <c r="J165" s="54"/>
    </row>
    <row r="166" spans="1:14" ht="15.75" thickBot="1" x14ac:dyDescent="0.3">
      <c r="A166" s="12"/>
      <c r="B166" s="31"/>
      <c r="C166" s="31"/>
      <c r="D166" s="41"/>
      <c r="E166" s="31"/>
      <c r="F166" s="31"/>
      <c r="G166" s="31"/>
      <c r="H166" s="41"/>
      <c r="I166" s="152"/>
      <c r="J166" s="18"/>
    </row>
    <row r="167" spans="1:14" x14ac:dyDescent="0.25">
      <c r="A167" s="11"/>
      <c r="B167" s="24"/>
      <c r="C167" s="24"/>
      <c r="D167" s="51"/>
      <c r="E167" s="24"/>
      <c r="F167" s="24"/>
      <c r="G167" s="24"/>
      <c r="H167" s="51"/>
      <c r="I167" s="89"/>
      <c r="J167" s="17"/>
    </row>
    <row r="168" spans="1:14" ht="15.75" thickBot="1" x14ac:dyDescent="0.3">
      <c r="A168" s="26" t="s">
        <v>425</v>
      </c>
      <c r="B168" s="27"/>
      <c r="C168" s="27"/>
      <c r="D168" s="40"/>
      <c r="E168" s="27"/>
      <c r="F168" s="27"/>
      <c r="G168" s="27"/>
      <c r="H168" s="40"/>
      <c r="I168" s="101"/>
      <c r="J168" s="54"/>
    </row>
    <row r="169" spans="1:14" x14ac:dyDescent="0.25">
      <c r="A169" s="26"/>
      <c r="B169" s="23" t="s">
        <v>426</v>
      </c>
      <c r="C169" s="24">
        <v>15</v>
      </c>
      <c r="D169" s="51">
        <v>17.7</v>
      </c>
      <c r="E169" s="24" t="s">
        <v>424</v>
      </c>
      <c r="F169" s="24">
        <v>75</v>
      </c>
      <c r="G169" s="25">
        <v>265.5</v>
      </c>
      <c r="H169" s="40">
        <f>G169/F169</f>
        <v>3.54</v>
      </c>
      <c r="I169" s="102">
        <f t="array" ref="I169">SUM(H169:H173*L1)</f>
        <v>4164.8115746971735</v>
      </c>
      <c r="J169" s="54"/>
      <c r="K169" s="14">
        <f>$L$1/F169</f>
        <v>1.3333333333333333</v>
      </c>
      <c r="L169" s="158">
        <f>ROUNDUP(K169,0)</f>
        <v>2</v>
      </c>
      <c r="M169" s="85">
        <f>L169*G169</f>
        <v>531</v>
      </c>
      <c r="N169" s="85">
        <f>SUM(M169:M173)</f>
        <v>4478.6100000000006</v>
      </c>
    </row>
    <row r="170" spans="1:14" x14ac:dyDescent="0.25">
      <c r="A170" s="26"/>
      <c r="B170" s="29" t="s">
        <v>407</v>
      </c>
      <c r="C170" s="27">
        <v>107</v>
      </c>
      <c r="D170" s="40">
        <v>420.51</v>
      </c>
      <c r="E170" s="27" t="s">
        <v>410</v>
      </c>
      <c r="F170" s="27">
        <v>14.86</v>
      </c>
      <c r="G170" s="28">
        <v>420.51</v>
      </c>
      <c r="H170" s="40">
        <f>G170/F170</f>
        <v>28.298115746971735</v>
      </c>
      <c r="I170" s="102"/>
      <c r="J170" s="54"/>
      <c r="K170" s="14">
        <f>$L$1/F170</f>
        <v>6.7294751009421265</v>
      </c>
      <c r="L170" s="158">
        <f>ROUNDUP(K170,0)</f>
        <v>7</v>
      </c>
      <c r="M170" s="85">
        <f>L170*G170</f>
        <v>2943.5699999999997</v>
      </c>
      <c r="N170" s="85"/>
    </row>
    <row r="171" spans="1:14" x14ac:dyDescent="0.25">
      <c r="A171" s="26"/>
      <c r="B171" s="29" t="s">
        <v>408</v>
      </c>
      <c r="C171" s="27">
        <v>20</v>
      </c>
      <c r="D171" s="40">
        <v>9</v>
      </c>
      <c r="E171" s="27" t="s">
        <v>421</v>
      </c>
      <c r="F171" s="27">
        <v>5</v>
      </c>
      <c r="G171" s="28">
        <v>9</v>
      </c>
      <c r="H171" s="40">
        <f>G171/F171</f>
        <v>1.8</v>
      </c>
      <c r="I171" s="101"/>
      <c r="J171" s="54"/>
      <c r="K171" s="14">
        <f>$L$1/F171</f>
        <v>20</v>
      </c>
      <c r="L171" s="158">
        <f>ROUNDUP(K171,0)</f>
        <v>20</v>
      </c>
      <c r="M171" s="85">
        <f>L171*G171</f>
        <v>180</v>
      </c>
      <c r="N171" s="85"/>
    </row>
    <row r="172" spans="1:14" x14ac:dyDescent="0.25">
      <c r="A172" s="26"/>
      <c r="B172" s="29" t="s">
        <v>409</v>
      </c>
      <c r="C172" s="27">
        <v>4.83</v>
      </c>
      <c r="D172" s="40">
        <v>9</v>
      </c>
      <c r="E172" s="27" t="s">
        <v>411</v>
      </c>
      <c r="F172" s="27">
        <v>6.44</v>
      </c>
      <c r="G172" s="28">
        <v>43.47</v>
      </c>
      <c r="H172" s="40">
        <f>G172/F172</f>
        <v>6.7499999999999991</v>
      </c>
      <c r="I172" s="101"/>
      <c r="J172" s="54"/>
      <c r="K172" s="14">
        <f>$L$1/F172</f>
        <v>15.527950310559005</v>
      </c>
      <c r="L172" s="158">
        <f>ROUNDUP(K172,0)</f>
        <v>16</v>
      </c>
      <c r="M172" s="85">
        <f>L172*G172</f>
        <v>695.52</v>
      </c>
      <c r="N172" s="85"/>
    </row>
    <row r="173" spans="1:14" ht="15.75" thickBot="1" x14ac:dyDescent="0.3">
      <c r="A173" s="12"/>
      <c r="B173" s="30" t="s">
        <v>422</v>
      </c>
      <c r="C173" s="31">
        <v>0.18</v>
      </c>
      <c r="D173" s="41">
        <v>42</v>
      </c>
      <c r="E173" s="31" t="s">
        <v>423</v>
      </c>
      <c r="F173" s="31">
        <v>6</v>
      </c>
      <c r="G173" s="32">
        <v>7.56</v>
      </c>
      <c r="H173" s="41">
        <f>G173/F173</f>
        <v>1.26</v>
      </c>
      <c r="I173" s="152"/>
      <c r="J173" s="18"/>
      <c r="K173" s="14">
        <f>$L$1/F173</f>
        <v>16.666666666666668</v>
      </c>
      <c r="L173" s="158">
        <f>ROUNDUP(K173,0)</f>
        <v>17</v>
      </c>
      <c r="M173" s="85">
        <f>L173*G173</f>
        <v>128.51999999999998</v>
      </c>
      <c r="N173" s="85"/>
    </row>
    <row r="174" spans="1:14" x14ac:dyDescent="0.25">
      <c r="A174" s="34"/>
      <c r="B174" s="27"/>
      <c r="C174" s="27"/>
      <c r="D174" s="40"/>
      <c r="E174" s="27"/>
      <c r="F174" s="27"/>
      <c r="G174" s="27"/>
      <c r="H174" s="40"/>
      <c r="I174" s="27"/>
      <c r="J174" s="34"/>
      <c r="M174" s="85"/>
      <c r="N174" s="85"/>
    </row>
  </sheetData>
  <phoneticPr fontId="5" type="noConversion"/>
  <pageMargins left="0.7" right="0.7" top="0.75" bottom="0.75" header="0.3" footer="0.3"/>
  <pageSetup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58B4-2B4F-4086-8DDF-D37F814ED29C}">
  <dimension ref="A2:F18"/>
  <sheetViews>
    <sheetView workbookViewId="0">
      <selection activeCell="D15" sqref="D15"/>
    </sheetView>
  </sheetViews>
  <sheetFormatPr defaultRowHeight="15" x14ac:dyDescent="0.25"/>
  <cols>
    <col min="1" max="1" width="35.140625" customWidth="1"/>
    <col min="3" max="3" width="12" style="14" bestFit="1" customWidth="1"/>
    <col min="4" max="4" width="9.140625" style="14"/>
    <col min="6" max="6" width="11.140625" bestFit="1" customWidth="1"/>
    <col min="7" max="7" width="21.5703125" bestFit="1" customWidth="1"/>
    <col min="8" max="8" width="21.42578125" bestFit="1" customWidth="1"/>
    <col min="9" max="9" width="16.140625" customWidth="1"/>
    <col min="10" max="10" width="13.140625" bestFit="1" customWidth="1"/>
    <col min="14" max="14" width="10.28515625" bestFit="1" customWidth="1"/>
  </cols>
  <sheetData>
    <row r="2" spans="1:6" ht="15.75" thickBot="1" x14ac:dyDescent="0.3"/>
    <row r="3" spans="1:6" ht="15.75" thickBot="1" x14ac:dyDescent="0.3">
      <c r="A3" s="11" t="s">
        <v>74</v>
      </c>
      <c r="B3" s="10">
        <v>100</v>
      </c>
      <c r="C3" s="19" t="s">
        <v>119</v>
      </c>
      <c r="D3" s="70">
        <v>200</v>
      </c>
    </row>
    <row r="4" spans="1:6" ht="15.75" thickBot="1" x14ac:dyDescent="0.3">
      <c r="A4" s="12" t="s">
        <v>75</v>
      </c>
      <c r="B4" s="10">
        <v>61.8</v>
      </c>
      <c r="C4" s="20" t="s">
        <v>141</v>
      </c>
      <c r="D4" s="70">
        <v>200</v>
      </c>
    </row>
    <row r="5" spans="1:6" ht="15.75" thickBot="1" x14ac:dyDescent="0.3">
      <c r="B5" t="s">
        <v>72</v>
      </c>
      <c r="C5" s="14" t="s">
        <v>73</v>
      </c>
      <c r="D5" s="15" t="s">
        <v>77</v>
      </c>
    </row>
    <row r="6" spans="1:6" x14ac:dyDescent="0.25">
      <c r="A6" s="13" t="s">
        <v>80</v>
      </c>
      <c r="B6" s="13">
        <v>28</v>
      </c>
      <c r="C6" s="16">
        <f>1/B6</f>
        <v>3.5714285714285712E-2</v>
      </c>
      <c r="D6" s="66">
        <f>C6*B3</f>
        <v>3.5714285714285712</v>
      </c>
    </row>
    <row r="7" spans="1:6" x14ac:dyDescent="0.25">
      <c r="A7" s="13" t="s">
        <v>68</v>
      </c>
      <c r="B7" s="13">
        <v>14</v>
      </c>
      <c r="C7" s="16">
        <f>1/B7</f>
        <v>7.1428571428571425E-2</v>
      </c>
      <c r="D7" s="67">
        <f>C7*B3</f>
        <v>7.1428571428571423</v>
      </c>
      <c r="F7" s="14"/>
    </row>
    <row r="8" spans="1:6" x14ac:dyDescent="0.25">
      <c r="A8" s="13" t="s">
        <v>69</v>
      </c>
      <c r="B8" s="13">
        <v>21.05</v>
      </c>
      <c r="C8" s="16">
        <f t="shared" ref="C8:C16" si="0">1/B8</f>
        <v>4.7505938242280284E-2</v>
      </c>
      <c r="D8" s="67">
        <f>C8*B3</f>
        <v>4.7505938242280283</v>
      </c>
    </row>
    <row r="9" spans="1:6" x14ac:dyDescent="0.25">
      <c r="A9" s="13" t="s">
        <v>70</v>
      </c>
      <c r="B9" s="13">
        <v>10.5</v>
      </c>
      <c r="C9" s="16">
        <f t="shared" si="0"/>
        <v>9.5238095238095233E-2</v>
      </c>
      <c r="D9" s="67">
        <f>C9*B3</f>
        <v>9.5238095238095237</v>
      </c>
    </row>
    <row r="10" spans="1:6" x14ac:dyDescent="0.25">
      <c r="A10" s="13" t="s">
        <v>71</v>
      </c>
      <c r="B10" s="13">
        <v>7.01</v>
      </c>
      <c r="C10" s="16">
        <f t="shared" si="0"/>
        <v>0.14265335235378032</v>
      </c>
      <c r="D10" s="67">
        <f>C10*B3</f>
        <v>14.265335235378032</v>
      </c>
    </row>
    <row r="11" spans="1:6" x14ac:dyDescent="0.25">
      <c r="A11" s="13" t="s">
        <v>76</v>
      </c>
      <c r="B11" s="13">
        <v>16.59</v>
      </c>
      <c r="C11" s="16">
        <f t="shared" si="0"/>
        <v>6.0277275467148887E-2</v>
      </c>
      <c r="D11" s="67">
        <f>C11*B3</f>
        <v>6.027727546714889</v>
      </c>
    </row>
    <row r="12" spans="1:6" x14ac:dyDescent="0.25">
      <c r="A12" s="63" t="s">
        <v>321</v>
      </c>
      <c r="B12" s="63">
        <v>9</v>
      </c>
      <c r="C12" s="64">
        <f t="shared" si="0"/>
        <v>0.1111111111111111</v>
      </c>
      <c r="D12" s="67">
        <f>B3*C12</f>
        <v>11.111111111111111</v>
      </c>
    </row>
    <row r="13" spans="1:6" x14ac:dyDescent="0.25">
      <c r="A13" s="65" t="s">
        <v>127</v>
      </c>
      <c r="B13" s="13">
        <v>5</v>
      </c>
      <c r="C13" s="16">
        <f t="shared" si="0"/>
        <v>0.2</v>
      </c>
      <c r="D13" s="67">
        <f>C13*B4</f>
        <v>12.36</v>
      </c>
    </row>
    <row r="14" spans="1:6" x14ac:dyDescent="0.25">
      <c r="A14" s="71" t="s">
        <v>199</v>
      </c>
      <c r="B14" s="63">
        <v>3.68</v>
      </c>
      <c r="C14" s="16">
        <f t="shared" si="0"/>
        <v>0.27173913043478259</v>
      </c>
      <c r="D14" s="72">
        <f>B4*C14</f>
        <v>16.793478260869563</v>
      </c>
    </row>
    <row r="15" spans="1:6" x14ac:dyDescent="0.25">
      <c r="A15" s="65" t="s">
        <v>119</v>
      </c>
      <c r="B15" s="65">
        <v>13</v>
      </c>
      <c r="C15" s="16">
        <f t="shared" si="0"/>
        <v>7.6923076923076927E-2</v>
      </c>
      <c r="D15" s="67">
        <f>C15*D3</f>
        <v>15.384615384615385</v>
      </c>
    </row>
    <row r="16" spans="1:6" x14ac:dyDescent="0.25">
      <c r="A16" s="71" t="s">
        <v>118</v>
      </c>
      <c r="B16" s="71">
        <v>5.5</v>
      </c>
      <c r="C16" s="64">
        <f t="shared" si="0"/>
        <v>0.18181818181818182</v>
      </c>
      <c r="D16" s="72">
        <f>C16*D4</f>
        <v>36.363636363636367</v>
      </c>
    </row>
    <row r="17" spans="1:4" x14ac:dyDescent="0.25">
      <c r="A17" s="65" t="s">
        <v>314</v>
      </c>
      <c r="B17" s="65">
        <v>2.3330000000000002</v>
      </c>
      <c r="C17" s="16">
        <f>1/B17</f>
        <v>0.42863266180882981</v>
      </c>
      <c r="D17" s="67">
        <f>C17*B3</f>
        <v>42.863266180882981</v>
      </c>
    </row>
    <row r="18" spans="1:4" ht="15.75" thickBot="1" x14ac:dyDescent="0.3">
      <c r="A18" s="65" t="s">
        <v>317</v>
      </c>
      <c r="B18" s="13">
        <v>150</v>
      </c>
      <c r="C18" s="16">
        <f>1/B18</f>
        <v>6.6666666666666671E-3</v>
      </c>
      <c r="D18" s="68">
        <f>C18*B3</f>
        <v>0.66666666666666674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C30F-E0DA-420E-9BC8-40FFD97654CF}">
  <dimension ref="A1:D12"/>
  <sheetViews>
    <sheetView topLeftCell="A7" workbookViewId="0">
      <selection activeCell="B8" sqref="B8"/>
    </sheetView>
  </sheetViews>
  <sheetFormatPr defaultRowHeight="15" x14ac:dyDescent="0.25"/>
  <cols>
    <col min="1" max="1" width="29.42578125" bestFit="1" customWidth="1"/>
  </cols>
  <sheetData>
    <row r="1" spans="1:4" x14ac:dyDescent="0.25">
      <c r="A1" t="s">
        <v>157</v>
      </c>
    </row>
    <row r="2" spans="1:4" x14ac:dyDescent="0.25">
      <c r="B2" t="s">
        <v>126</v>
      </c>
      <c r="C2" t="s">
        <v>158</v>
      </c>
    </row>
    <row r="3" spans="1:4" x14ac:dyDescent="0.25">
      <c r="A3" t="s">
        <v>159</v>
      </c>
      <c r="B3">
        <v>45</v>
      </c>
      <c r="C3">
        <v>35</v>
      </c>
    </row>
    <row r="4" spans="1:4" x14ac:dyDescent="0.25">
      <c r="A4" t="s">
        <v>166</v>
      </c>
      <c r="B4">
        <v>35</v>
      </c>
      <c r="C4">
        <v>29</v>
      </c>
    </row>
    <row r="5" spans="1:4" x14ac:dyDescent="0.25">
      <c r="A5" t="s">
        <v>214</v>
      </c>
      <c r="B5">
        <v>65</v>
      </c>
    </row>
    <row r="6" spans="1:4" x14ac:dyDescent="0.25">
      <c r="A6" t="s">
        <v>167</v>
      </c>
      <c r="B6">
        <v>49</v>
      </c>
    </row>
    <row r="7" spans="1:4" x14ac:dyDescent="0.25">
      <c r="A7" t="s">
        <v>249</v>
      </c>
      <c r="B7">
        <v>65</v>
      </c>
    </row>
    <row r="8" spans="1:4" x14ac:dyDescent="0.25">
      <c r="A8" t="s">
        <v>168</v>
      </c>
      <c r="B8">
        <v>61</v>
      </c>
      <c r="D8" t="s">
        <v>196</v>
      </c>
    </row>
    <row r="9" spans="1:4" x14ac:dyDescent="0.25">
      <c r="A9" t="s">
        <v>181</v>
      </c>
      <c r="B9" t="s">
        <v>182</v>
      </c>
      <c r="D9" t="s">
        <v>197</v>
      </c>
    </row>
    <row r="10" spans="1:4" x14ac:dyDescent="0.25">
      <c r="A10" t="s">
        <v>206</v>
      </c>
    </row>
    <row r="11" spans="1:4" x14ac:dyDescent="0.25">
      <c r="A11" t="s">
        <v>207</v>
      </c>
    </row>
    <row r="12" spans="1:4" x14ac:dyDescent="0.25">
      <c r="A12" t="s">
        <v>215</v>
      </c>
      <c r="B1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Quotes Submitted</vt:lpstr>
      <vt:lpstr>Antislip guide</vt:lpstr>
      <vt:lpstr>Pricing</vt:lpstr>
      <vt:lpstr>Hours</vt:lpstr>
      <vt:lpstr>m2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tatim hanna</dc:creator>
  <cp:lastModifiedBy>Jeff</cp:lastModifiedBy>
  <cp:lastPrinted>2020-05-29T00:34:28Z</cp:lastPrinted>
  <dcterms:created xsi:type="dcterms:W3CDTF">2020-05-24T21:36:34Z</dcterms:created>
  <dcterms:modified xsi:type="dcterms:W3CDTF">2020-06-20T19:59:59Z</dcterms:modified>
</cp:coreProperties>
</file>